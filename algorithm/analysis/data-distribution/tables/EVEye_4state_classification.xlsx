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s (4-state)" sheetId="1" state="visible" r:id="rId3"/>
    <sheet name="Share % (4-state)" sheetId="2" state="visible" r:id="rId4"/>
    <sheet name="Definition &amp; Valid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<sst xmlns="http://schemas.openxmlformats.org/spreadsheetml/2006/main" count="40" uniqueCount="34">
  <si>
    <t xml:space="preserve">EV-Eye GT-frame 4-state classification — counts per subject (both eyes)</t>
  </si>
  <si>
    <t xml:space="preserve">State rule (I-VT): speed&gt;493 px/s → Saccade(saccade-session)/Reset(smooth-session); else Fixation/Smooth. Source: cache/velocity_at_gt.csv (9,011 GT frames; 8,982 with speed).</t>
  </si>
  <si>
    <t xml:space="preserve">Subject</t>
  </si>
  <si>
    <t xml:space="preserve">Motion</t>
  </si>
  <si>
    <t xml:space="preserve">Total</t>
  </si>
  <si>
    <t xml:space="preserve">Fixation</t>
  </si>
  <si>
    <t xml:space="preserve">Saccade</t>
  </si>
  <si>
    <t xml:space="preserve">Smooth</t>
  </si>
  <si>
    <t xml:space="preserve">Reset</t>
  </si>
  <si>
    <t xml:space="preserve">All</t>
  </si>
  <si>
    <t xml:space="preserve">Per-subject 4-state share (% of subject's GT frames)</t>
  </si>
  <si>
    <t xml:space="preserve">EV-Eye 4-stage classification — definition, validation, limitations</t>
  </si>
  <si>
    <t xml:space="preserve">Stage definitions (per GT frame, I-VT velocity rule)</t>
  </si>
  <si>
    <t xml:space="preserve">  Speed = cv2 dense-trajectory central difference (±2 frames) at each GT frame, px/s.</t>
  </si>
  <si>
    <t xml:space="preserve">  Threshold v_sacc = 493 px/s  (= 90th percentile of saccade-session speed; same as the validated 3-state pipeline).</t>
  </si>
  <si>
    <t xml:space="preserve">  • Fixation = saccade-session (101/201) frame with speed ≤ v_sacc  (holding gaze on a static dot).</t>
  </si>
  <si>
    <t xml:space="preserve">  • Saccade  = saccade-session frame with speed &gt; v_sacc  (fast jump to a new dot position).</t>
  </si>
  <si>
    <t xml:space="preserve">  • Smooth   = smooth-session (102/202) frame with speed ≤ v_sacc  (tracking the continuously moving dot).</t>
  </si>
  <si>
    <t xml:space="preserve">  • Reset    = smooth-session frame with speed &gt; v_sacc  (fast return / catch-up saccade when the pursuit target jumps back).</t>
  </si>
  <si>
    <t xml:space="preserve">Why 'Reset' = high-speed in smooth sessions</t>
  </si>
  <si>
    <t xml:space="preserve">  The smooth stimulus (Display_Dot_smooth.m) sweeps a dot in a serpentine raster and then restarts, forcing large</t>
  </si>
  <si>
    <t xml:space="preserve">  return/catch-up saccades. In a pursuit session any high-speed eye movement is NOT pursuit, so it is the 'reset' phase.</t>
  </si>
  <si>
    <t xml:space="preserve">  This simply splits the validated 3-state 'Saccade' bucket by session type → Saccade (saccade-session) + Reset (smooth-session).</t>
  </si>
  <si>
    <t xml:space="preserve">Validation (reconciles exactly with the handover-validated 3-state)</t>
  </si>
  <si>
    <t xml:space="preserve">  3-state totals (authoritative): Fixation 3868 · Smooth 4301 · Saccade 813 · total 8982.</t>
  </si>
  <si>
    <t xml:space="preserve">  4-state totals (this file):     Fixation 3868 · Smooth 4301 · Saccade 430 · Reset 383 (430+383=813) · total 8982.  ✓</t>
  </si>
  <si>
    <t xml:space="preserve">  Per-subject check e.g. user1: old Saccade 19 = new Saccade 10 + Reset 9 ✓ ; user48: 1 = 0 + 1 ✓.</t>
  </si>
  <si>
    <t xml:space="preserve">Limitations / review notes</t>
  </si>
  <si>
    <t xml:space="preserve">  1. Saccade &amp; Reset are SPARSE (430 / 383 frames over 48 subjects, ~9/subject) — uniform GT sampling rarely lands on a</t>
  </si>
  <si>
    <t xml:space="preserve">     brief saccade, so per-subject Saccade/Reset counts are noisy; some subjects show 0 (e.g. user2, 30, 48).</t>
  </si>
  <si>
    <t xml:space="preserve">  2. Speed is from the cv2 detector, not GT — blink-induced detector jumps can inflate Reset; flagged blink windows exist.</t>
  </si>
  <si>
    <t xml:space="preserve">  3. Threshold-sensitive (493 px/s). A sensitivity sweep (e.g. p85/p95) is recommended before drawing strong conclusions.</t>
  </si>
  <si>
    <t xml:space="preserve">  4. Counts = both eyes combined per subject. Frame stream ~25 Hz; speeds &gt;2000 px/s are physiologically saccade-range.</t>
  </si>
  <si>
    <t xml:space="preserve">  5. This is a FRAME-level classification of GT-annotated frames only (8,982 of 1.49M frames carry GT).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</si>
</sst>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30549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30549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8EAADB"/>
        <bgColor rgb="FF96969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/>
      <c r="D4" s="3"/>
      <c r="E4" s="3"/>
      <c r="F4" s="3" t="s">
        <v>4</v>
      </c>
    </row>
    <row r="5" customFormat="false" ht="15" hidden="false" customHeight="false" outlineLevel="0" collapsed="false">
      <c r="A5" s="3"/>
      <c r="B5" s="4" t="s">
        <v>5</v>
      </c>
      <c r="C5" s="4" t="s">
        <v>6</v>
      </c>
      <c r="D5" s="4" t="s">
        <v>7</v>
      </c>
      <c r="E5" s="4" t="s">
        <v>8</v>
      </c>
      <c r="F5" s="3"/>
    </row>
    <row r="6" customFormat="false" ht="15" hidden="false" customHeight="false" outlineLevel="0" collapsed="false">
      <c r="A6" s="5" t="n">
        <v>1</v>
      </c>
      <c r="B6" s="6" t="n">
        <v>87</v>
      </c>
      <c r="C6" s="7" t="n">
        <v>10</v>
      </c>
      <c r="D6" s="8" t="n">
        <v>97</v>
      </c>
      <c r="E6" s="9" t="n">
        <v>9</v>
      </c>
      <c r="F6" s="10" t="n">
        <f aca="false">SUM(B6:E6)</f>
        <v>203</v>
      </c>
    </row>
    <row r="7" customFormat="false" ht="15" hidden="false" customHeight="false" outlineLevel="0" collapsed="false">
      <c r="A7" s="5" t="n">
        <v>2</v>
      </c>
      <c r="B7" s="6" t="n">
        <v>124</v>
      </c>
      <c r="C7" s="7" t="n">
        <v>0</v>
      </c>
      <c r="D7" s="8" t="n">
        <v>110</v>
      </c>
      <c r="E7" s="9" t="n">
        <v>1</v>
      </c>
      <c r="F7" s="10" t="n">
        <f aca="false">SUM(B7:E7)</f>
        <v>235</v>
      </c>
    </row>
    <row r="8" customFormat="false" ht="15" hidden="false" customHeight="false" outlineLevel="0" collapsed="false">
      <c r="A8" s="5" t="n">
        <v>3</v>
      </c>
      <c r="B8" s="6" t="n">
        <v>82</v>
      </c>
      <c r="C8" s="7" t="n">
        <v>3</v>
      </c>
      <c r="D8" s="8" t="n">
        <v>79</v>
      </c>
      <c r="E8" s="9" t="n">
        <v>3</v>
      </c>
      <c r="F8" s="10" t="n">
        <f aca="false">SUM(B8:E8)</f>
        <v>167</v>
      </c>
    </row>
    <row r="9" customFormat="false" ht="15" hidden="false" customHeight="false" outlineLevel="0" collapsed="false">
      <c r="A9" s="5" t="n">
        <v>4</v>
      </c>
      <c r="B9" s="6" t="n">
        <v>88</v>
      </c>
      <c r="C9" s="7" t="n">
        <v>10</v>
      </c>
      <c r="D9" s="8" t="n">
        <v>87</v>
      </c>
      <c r="E9" s="9" t="n">
        <v>11</v>
      </c>
      <c r="F9" s="10" t="n">
        <f aca="false">SUM(B9:E9)</f>
        <v>196</v>
      </c>
    </row>
    <row r="10" customFormat="false" ht="15" hidden="false" customHeight="false" outlineLevel="0" collapsed="false">
      <c r="A10" s="5" t="n">
        <v>5</v>
      </c>
      <c r="B10" s="6" t="n">
        <v>75</v>
      </c>
      <c r="C10" s="7" t="n">
        <v>12</v>
      </c>
      <c r="D10" s="8" t="n">
        <v>70</v>
      </c>
      <c r="E10" s="9" t="n">
        <v>9</v>
      </c>
      <c r="F10" s="10" t="n">
        <f aca="false">SUM(B10:E10)</f>
        <v>166</v>
      </c>
    </row>
    <row r="11" customFormat="false" ht="15" hidden="false" customHeight="false" outlineLevel="0" collapsed="false">
      <c r="A11" s="5" t="n">
        <v>6</v>
      </c>
      <c r="B11" s="6" t="n">
        <v>90</v>
      </c>
      <c r="C11" s="7" t="n">
        <v>6</v>
      </c>
      <c r="D11" s="8" t="n">
        <v>96</v>
      </c>
      <c r="E11" s="9" t="n">
        <v>4</v>
      </c>
      <c r="F11" s="10" t="n">
        <f aca="false">SUM(B11:E11)</f>
        <v>196</v>
      </c>
    </row>
    <row r="12" customFormat="false" ht="15" hidden="false" customHeight="false" outlineLevel="0" collapsed="false">
      <c r="A12" s="5" t="n">
        <v>7</v>
      </c>
      <c r="B12" s="6" t="n">
        <v>90</v>
      </c>
      <c r="C12" s="7" t="n">
        <v>9</v>
      </c>
      <c r="D12" s="8" t="n">
        <v>99</v>
      </c>
      <c r="E12" s="9" t="n">
        <v>3</v>
      </c>
      <c r="F12" s="10" t="n">
        <f aca="false">SUM(B12:E12)</f>
        <v>201</v>
      </c>
    </row>
    <row r="13" customFormat="false" ht="15" hidden="false" customHeight="false" outlineLevel="0" collapsed="false">
      <c r="A13" s="5" t="n">
        <v>8</v>
      </c>
      <c r="B13" s="6" t="n">
        <v>93</v>
      </c>
      <c r="C13" s="7" t="n">
        <v>6</v>
      </c>
      <c r="D13" s="8" t="n">
        <v>95</v>
      </c>
      <c r="E13" s="9" t="n">
        <v>5</v>
      </c>
      <c r="F13" s="10" t="n">
        <f aca="false">SUM(B13:E13)</f>
        <v>199</v>
      </c>
    </row>
    <row r="14" customFormat="false" ht="15" hidden="false" customHeight="false" outlineLevel="0" collapsed="false">
      <c r="A14" s="5" t="n">
        <v>9</v>
      </c>
      <c r="B14" s="6" t="n">
        <v>92</v>
      </c>
      <c r="C14" s="7" t="n">
        <v>4</v>
      </c>
      <c r="D14" s="8" t="n">
        <v>107</v>
      </c>
      <c r="E14" s="9" t="n">
        <v>0</v>
      </c>
      <c r="F14" s="10" t="n">
        <f aca="false">SUM(B14:E14)</f>
        <v>203</v>
      </c>
    </row>
    <row r="15" customFormat="false" ht="15" hidden="false" customHeight="false" outlineLevel="0" collapsed="false">
      <c r="A15" s="5" t="n">
        <v>10</v>
      </c>
      <c r="B15" s="6" t="n">
        <v>89</v>
      </c>
      <c r="C15" s="7" t="n">
        <v>5</v>
      </c>
      <c r="D15" s="8" t="n">
        <v>81</v>
      </c>
      <c r="E15" s="9" t="n">
        <v>15</v>
      </c>
      <c r="F15" s="10" t="n">
        <f aca="false">SUM(B15:E15)</f>
        <v>190</v>
      </c>
    </row>
    <row r="16" customFormat="false" ht="15" hidden="false" customHeight="false" outlineLevel="0" collapsed="false">
      <c r="A16" s="5" t="n">
        <v>11</v>
      </c>
      <c r="B16" s="6" t="n">
        <v>80</v>
      </c>
      <c r="C16" s="7" t="n">
        <v>12</v>
      </c>
      <c r="D16" s="8" t="n">
        <v>108</v>
      </c>
      <c r="E16" s="9" t="n">
        <v>5</v>
      </c>
      <c r="F16" s="10" t="n">
        <f aca="false">SUM(B16:E16)</f>
        <v>205</v>
      </c>
    </row>
    <row r="17" customFormat="false" ht="15" hidden="false" customHeight="false" outlineLevel="0" collapsed="false">
      <c r="A17" s="5" t="n">
        <v>12</v>
      </c>
      <c r="B17" s="6" t="n">
        <v>86</v>
      </c>
      <c r="C17" s="7" t="n">
        <v>9</v>
      </c>
      <c r="D17" s="8" t="n">
        <v>98</v>
      </c>
      <c r="E17" s="9" t="n">
        <v>15</v>
      </c>
      <c r="F17" s="10" t="n">
        <f aca="false">SUM(B17:E17)</f>
        <v>208</v>
      </c>
    </row>
    <row r="18" customFormat="false" ht="15" hidden="false" customHeight="false" outlineLevel="0" collapsed="false">
      <c r="A18" s="5" t="n">
        <v>13</v>
      </c>
      <c r="B18" s="6" t="n">
        <v>86</v>
      </c>
      <c r="C18" s="7" t="n">
        <v>13</v>
      </c>
      <c r="D18" s="8" t="n">
        <v>98</v>
      </c>
      <c r="E18" s="9" t="n">
        <v>13</v>
      </c>
      <c r="F18" s="10" t="n">
        <f aca="false">SUM(B18:E18)</f>
        <v>210</v>
      </c>
    </row>
    <row r="19" customFormat="false" ht="15" hidden="false" customHeight="false" outlineLevel="0" collapsed="false">
      <c r="A19" s="5" t="n">
        <v>14</v>
      </c>
      <c r="B19" s="6" t="n">
        <v>85</v>
      </c>
      <c r="C19" s="7" t="n">
        <v>11</v>
      </c>
      <c r="D19" s="8" t="n">
        <v>94</v>
      </c>
      <c r="E19" s="9" t="n">
        <v>5</v>
      </c>
      <c r="F19" s="10" t="n">
        <f aca="false">SUM(B19:E19)</f>
        <v>195</v>
      </c>
    </row>
    <row r="20" customFormat="false" ht="15" hidden="false" customHeight="false" outlineLevel="0" collapsed="false">
      <c r="A20" s="5" t="n">
        <v>15</v>
      </c>
      <c r="B20" s="6" t="n">
        <v>85</v>
      </c>
      <c r="C20" s="7" t="n">
        <v>8</v>
      </c>
      <c r="D20" s="8" t="n">
        <v>74</v>
      </c>
      <c r="E20" s="9" t="n">
        <v>15</v>
      </c>
      <c r="F20" s="10" t="n">
        <f aca="false">SUM(B20:E20)</f>
        <v>182</v>
      </c>
    </row>
    <row r="21" customFormat="false" ht="15" hidden="false" customHeight="false" outlineLevel="0" collapsed="false">
      <c r="A21" s="5" t="n">
        <v>16</v>
      </c>
      <c r="B21" s="6" t="n">
        <v>68</v>
      </c>
      <c r="C21" s="7" t="n">
        <v>18</v>
      </c>
      <c r="D21" s="8" t="n">
        <v>87</v>
      </c>
      <c r="E21" s="9" t="n">
        <v>6</v>
      </c>
      <c r="F21" s="10" t="n">
        <f aca="false">SUM(B21:E21)</f>
        <v>179</v>
      </c>
    </row>
    <row r="22" customFormat="false" ht="15" hidden="false" customHeight="false" outlineLevel="0" collapsed="false">
      <c r="A22" s="5" t="n">
        <v>17</v>
      </c>
      <c r="B22" s="6" t="n">
        <v>67</v>
      </c>
      <c r="C22" s="7" t="n">
        <v>18</v>
      </c>
      <c r="D22" s="8" t="n">
        <v>62</v>
      </c>
      <c r="E22" s="9" t="n">
        <v>25</v>
      </c>
      <c r="F22" s="10" t="n">
        <f aca="false">SUM(B22:E22)</f>
        <v>172</v>
      </c>
    </row>
    <row r="23" customFormat="false" ht="15" hidden="false" customHeight="false" outlineLevel="0" collapsed="false">
      <c r="A23" s="5" t="n">
        <v>18</v>
      </c>
      <c r="B23" s="6" t="n">
        <v>41</v>
      </c>
      <c r="C23" s="7" t="n">
        <v>3</v>
      </c>
      <c r="D23" s="8" t="n">
        <v>64</v>
      </c>
      <c r="E23" s="9" t="n">
        <v>6</v>
      </c>
      <c r="F23" s="10" t="n">
        <f aca="false">SUM(B23:E23)</f>
        <v>114</v>
      </c>
    </row>
    <row r="24" customFormat="false" ht="15" hidden="false" customHeight="false" outlineLevel="0" collapsed="false">
      <c r="A24" s="5" t="n">
        <v>19</v>
      </c>
      <c r="B24" s="6" t="n">
        <v>93</v>
      </c>
      <c r="C24" s="7" t="n">
        <v>5</v>
      </c>
      <c r="D24" s="8" t="n">
        <v>100</v>
      </c>
      <c r="E24" s="9" t="n">
        <v>4</v>
      </c>
      <c r="F24" s="10" t="n">
        <f aca="false">SUM(B24:E24)</f>
        <v>202</v>
      </c>
    </row>
    <row r="25" customFormat="false" ht="15" hidden="false" customHeight="false" outlineLevel="0" collapsed="false">
      <c r="A25" s="5" t="n">
        <v>20</v>
      </c>
      <c r="B25" s="6" t="n">
        <v>66</v>
      </c>
      <c r="C25" s="7" t="n">
        <v>15</v>
      </c>
      <c r="D25" s="8" t="n">
        <v>84</v>
      </c>
      <c r="E25" s="9" t="n">
        <v>18</v>
      </c>
      <c r="F25" s="10" t="n">
        <f aca="false">SUM(B25:E25)</f>
        <v>183</v>
      </c>
    </row>
    <row r="26" customFormat="false" ht="15" hidden="false" customHeight="false" outlineLevel="0" collapsed="false">
      <c r="A26" s="5" t="n">
        <v>21</v>
      </c>
      <c r="B26" s="6" t="n">
        <v>46</v>
      </c>
      <c r="C26" s="7" t="n">
        <v>6</v>
      </c>
      <c r="D26" s="8" t="n">
        <v>39</v>
      </c>
      <c r="E26" s="9" t="n">
        <v>4</v>
      </c>
      <c r="F26" s="10" t="n">
        <f aca="false">SUM(B26:E26)</f>
        <v>95</v>
      </c>
    </row>
    <row r="27" customFormat="false" ht="15" hidden="false" customHeight="false" outlineLevel="0" collapsed="false">
      <c r="A27" s="5" t="n">
        <v>22</v>
      </c>
      <c r="B27" s="6" t="n">
        <v>88</v>
      </c>
      <c r="C27" s="7" t="n">
        <v>3</v>
      </c>
      <c r="D27" s="8" t="n">
        <v>96</v>
      </c>
      <c r="E27" s="9" t="n">
        <v>10</v>
      </c>
      <c r="F27" s="10" t="n">
        <f aca="false">SUM(B27:E27)</f>
        <v>197</v>
      </c>
    </row>
    <row r="28" customFormat="false" ht="15" hidden="false" customHeight="false" outlineLevel="0" collapsed="false">
      <c r="A28" s="5" t="n">
        <v>23</v>
      </c>
      <c r="B28" s="6" t="n">
        <v>92</v>
      </c>
      <c r="C28" s="7" t="n">
        <v>2</v>
      </c>
      <c r="D28" s="8" t="n">
        <v>96</v>
      </c>
      <c r="E28" s="9" t="n">
        <v>4</v>
      </c>
      <c r="F28" s="10" t="n">
        <f aca="false">SUM(B28:E28)</f>
        <v>194</v>
      </c>
    </row>
    <row r="29" customFormat="false" ht="15" hidden="false" customHeight="false" outlineLevel="0" collapsed="false">
      <c r="A29" s="5" t="n">
        <v>24</v>
      </c>
      <c r="B29" s="6" t="n">
        <v>66</v>
      </c>
      <c r="C29" s="7" t="n">
        <v>2</v>
      </c>
      <c r="D29" s="8" t="n">
        <v>85</v>
      </c>
      <c r="E29" s="9" t="n">
        <v>0</v>
      </c>
      <c r="F29" s="10" t="n">
        <f aca="false">SUM(B29:E29)</f>
        <v>153</v>
      </c>
    </row>
    <row r="30" customFormat="false" ht="15" hidden="false" customHeight="false" outlineLevel="0" collapsed="false">
      <c r="A30" s="5" t="n">
        <v>25</v>
      </c>
      <c r="B30" s="6" t="n">
        <v>84</v>
      </c>
      <c r="C30" s="7" t="n">
        <v>12</v>
      </c>
      <c r="D30" s="8" t="n">
        <v>95</v>
      </c>
      <c r="E30" s="9" t="n">
        <v>7</v>
      </c>
      <c r="F30" s="10" t="n">
        <f aca="false">SUM(B30:E30)</f>
        <v>198</v>
      </c>
    </row>
    <row r="31" customFormat="false" ht="15" hidden="false" customHeight="false" outlineLevel="0" collapsed="false">
      <c r="A31" s="5" t="n">
        <v>26</v>
      </c>
      <c r="B31" s="6" t="n">
        <v>72</v>
      </c>
      <c r="C31" s="7" t="n">
        <v>19</v>
      </c>
      <c r="D31" s="8" t="n">
        <v>87</v>
      </c>
      <c r="E31" s="9" t="n">
        <v>1</v>
      </c>
      <c r="F31" s="10" t="n">
        <f aca="false">SUM(B31:E31)</f>
        <v>179</v>
      </c>
    </row>
    <row r="32" customFormat="false" ht="15" hidden="false" customHeight="false" outlineLevel="0" collapsed="false">
      <c r="A32" s="5" t="n">
        <v>27</v>
      </c>
      <c r="B32" s="6" t="n">
        <v>85</v>
      </c>
      <c r="C32" s="7" t="n">
        <v>9</v>
      </c>
      <c r="D32" s="8" t="n">
        <v>89</v>
      </c>
      <c r="E32" s="9" t="n">
        <v>6</v>
      </c>
      <c r="F32" s="10" t="n">
        <f aca="false">SUM(B32:E32)</f>
        <v>189</v>
      </c>
    </row>
    <row r="33" customFormat="false" ht="15" hidden="false" customHeight="false" outlineLevel="0" collapsed="false">
      <c r="A33" s="5" t="n">
        <v>28</v>
      </c>
      <c r="B33" s="6" t="n">
        <v>90</v>
      </c>
      <c r="C33" s="7" t="n">
        <v>7</v>
      </c>
      <c r="D33" s="8" t="n">
        <v>93</v>
      </c>
      <c r="E33" s="9" t="n">
        <v>6</v>
      </c>
      <c r="F33" s="10" t="n">
        <f aca="false">SUM(B33:E33)</f>
        <v>196</v>
      </c>
    </row>
    <row r="34" customFormat="false" ht="15" hidden="false" customHeight="false" outlineLevel="0" collapsed="false">
      <c r="A34" s="5" t="n">
        <v>29</v>
      </c>
      <c r="B34" s="6" t="n">
        <v>67</v>
      </c>
      <c r="C34" s="7" t="n">
        <v>15</v>
      </c>
      <c r="D34" s="8" t="n">
        <v>78</v>
      </c>
      <c r="E34" s="9" t="n">
        <v>13</v>
      </c>
      <c r="F34" s="10" t="n">
        <f aca="false">SUM(B34:E34)</f>
        <v>173</v>
      </c>
    </row>
    <row r="35" customFormat="false" ht="15" hidden="false" customHeight="false" outlineLevel="0" collapsed="false">
      <c r="A35" s="5" t="n">
        <v>30</v>
      </c>
      <c r="B35" s="6" t="n">
        <v>98</v>
      </c>
      <c r="C35" s="7" t="n">
        <v>0</v>
      </c>
      <c r="D35" s="8" t="n">
        <v>100</v>
      </c>
      <c r="E35" s="9" t="n">
        <v>3</v>
      </c>
      <c r="F35" s="10" t="n">
        <f aca="false">SUM(B35:E35)</f>
        <v>201</v>
      </c>
    </row>
    <row r="36" customFormat="false" ht="15" hidden="false" customHeight="false" outlineLevel="0" collapsed="false">
      <c r="A36" s="5" t="n">
        <v>31</v>
      </c>
      <c r="B36" s="6" t="n">
        <v>84</v>
      </c>
      <c r="C36" s="7" t="n">
        <v>10</v>
      </c>
      <c r="D36" s="8" t="n">
        <v>94</v>
      </c>
      <c r="E36" s="9" t="n">
        <v>5</v>
      </c>
      <c r="F36" s="10" t="n">
        <f aca="false">SUM(B36:E36)</f>
        <v>193</v>
      </c>
    </row>
    <row r="37" customFormat="false" ht="15" hidden="false" customHeight="false" outlineLevel="0" collapsed="false">
      <c r="A37" s="5" t="n">
        <v>32</v>
      </c>
      <c r="B37" s="6" t="n">
        <v>59</v>
      </c>
      <c r="C37" s="7" t="n">
        <v>11</v>
      </c>
      <c r="D37" s="8" t="n">
        <v>56</v>
      </c>
      <c r="E37" s="9" t="n">
        <v>20</v>
      </c>
      <c r="F37" s="10" t="n">
        <f aca="false">SUM(B37:E37)</f>
        <v>146</v>
      </c>
    </row>
    <row r="38" customFormat="false" ht="15" hidden="false" customHeight="false" outlineLevel="0" collapsed="false">
      <c r="A38" s="5" t="n">
        <v>33</v>
      </c>
      <c r="B38" s="6" t="n">
        <v>87</v>
      </c>
      <c r="C38" s="7" t="n">
        <v>14</v>
      </c>
      <c r="D38" s="8" t="n">
        <v>96</v>
      </c>
      <c r="E38" s="9" t="n">
        <v>17</v>
      </c>
      <c r="F38" s="10" t="n">
        <f aca="false">SUM(B38:E38)</f>
        <v>214</v>
      </c>
    </row>
    <row r="39" customFormat="false" ht="15" hidden="false" customHeight="false" outlineLevel="0" collapsed="false">
      <c r="A39" s="5" t="n">
        <v>34</v>
      </c>
      <c r="B39" s="6" t="n">
        <v>82</v>
      </c>
      <c r="C39" s="7" t="n">
        <v>14</v>
      </c>
      <c r="D39" s="8" t="n">
        <v>91</v>
      </c>
      <c r="E39" s="9" t="n">
        <v>9</v>
      </c>
      <c r="F39" s="10" t="n">
        <f aca="false">SUM(B39:E39)</f>
        <v>196</v>
      </c>
    </row>
    <row r="40" customFormat="false" ht="15" hidden="false" customHeight="false" outlineLevel="0" collapsed="false">
      <c r="A40" s="5" t="n">
        <v>35</v>
      </c>
      <c r="B40" s="6" t="n">
        <v>82</v>
      </c>
      <c r="C40" s="7" t="n">
        <v>16</v>
      </c>
      <c r="D40" s="8" t="n">
        <v>105</v>
      </c>
      <c r="E40" s="9" t="n">
        <v>11</v>
      </c>
      <c r="F40" s="10" t="n">
        <f aca="false">SUM(B40:E40)</f>
        <v>214</v>
      </c>
    </row>
    <row r="41" customFormat="false" ht="15" hidden="false" customHeight="false" outlineLevel="0" collapsed="false">
      <c r="A41" s="5" t="n">
        <v>36</v>
      </c>
      <c r="B41" s="6" t="n">
        <v>84</v>
      </c>
      <c r="C41" s="7" t="n">
        <v>14</v>
      </c>
      <c r="D41" s="8" t="n">
        <v>104</v>
      </c>
      <c r="E41" s="9" t="n">
        <v>8</v>
      </c>
      <c r="F41" s="10" t="n">
        <f aca="false">SUM(B41:E41)</f>
        <v>210</v>
      </c>
    </row>
    <row r="42" customFormat="false" ht="15" hidden="false" customHeight="false" outlineLevel="0" collapsed="false">
      <c r="A42" s="5" t="n">
        <v>37</v>
      </c>
      <c r="B42" s="6" t="n">
        <v>74</v>
      </c>
      <c r="C42" s="7" t="n">
        <v>7</v>
      </c>
      <c r="D42" s="8" t="n">
        <v>85</v>
      </c>
      <c r="E42" s="9" t="n">
        <v>10</v>
      </c>
      <c r="F42" s="10" t="n">
        <f aca="false">SUM(B42:E42)</f>
        <v>176</v>
      </c>
    </row>
    <row r="43" customFormat="false" ht="15" hidden="false" customHeight="false" outlineLevel="0" collapsed="false">
      <c r="A43" s="5" t="n">
        <v>38</v>
      </c>
      <c r="B43" s="6" t="n">
        <v>74</v>
      </c>
      <c r="C43" s="7" t="n">
        <v>16</v>
      </c>
      <c r="D43" s="8" t="n">
        <v>89</v>
      </c>
      <c r="E43" s="9" t="n">
        <v>10</v>
      </c>
      <c r="F43" s="10" t="n">
        <f aca="false">SUM(B43:E43)</f>
        <v>189</v>
      </c>
    </row>
    <row r="44" customFormat="false" ht="15" hidden="false" customHeight="false" outlineLevel="0" collapsed="false">
      <c r="A44" s="5" t="n">
        <v>39</v>
      </c>
      <c r="B44" s="6" t="n">
        <v>54</v>
      </c>
      <c r="C44" s="7" t="n">
        <v>13</v>
      </c>
      <c r="D44" s="8" t="n">
        <v>66</v>
      </c>
      <c r="E44" s="9" t="n">
        <v>7</v>
      </c>
      <c r="F44" s="10" t="n">
        <f aca="false">SUM(B44:E44)</f>
        <v>140</v>
      </c>
    </row>
    <row r="45" customFormat="false" ht="15" hidden="false" customHeight="false" outlineLevel="0" collapsed="false">
      <c r="A45" s="5" t="n">
        <v>40</v>
      </c>
      <c r="B45" s="6" t="n">
        <v>90</v>
      </c>
      <c r="C45" s="7" t="n">
        <v>4</v>
      </c>
      <c r="D45" s="8" t="n">
        <v>106</v>
      </c>
      <c r="E45" s="9" t="n">
        <v>3</v>
      </c>
      <c r="F45" s="10" t="n">
        <f aca="false">SUM(B45:E45)</f>
        <v>203</v>
      </c>
    </row>
    <row r="46" customFormat="false" ht="15" hidden="false" customHeight="false" outlineLevel="0" collapsed="false">
      <c r="A46" s="5" t="n">
        <v>41</v>
      </c>
      <c r="B46" s="6" t="n">
        <v>81</v>
      </c>
      <c r="C46" s="7" t="n">
        <v>12</v>
      </c>
      <c r="D46" s="8" t="n">
        <v>97</v>
      </c>
      <c r="E46" s="9" t="n">
        <v>8</v>
      </c>
      <c r="F46" s="10" t="n">
        <f aca="false">SUM(B46:E46)</f>
        <v>198</v>
      </c>
    </row>
    <row r="47" customFormat="false" ht="15" hidden="false" customHeight="false" outlineLevel="0" collapsed="false">
      <c r="A47" s="5" t="n">
        <v>42</v>
      </c>
      <c r="B47" s="6" t="n">
        <v>81</v>
      </c>
      <c r="C47" s="7" t="n">
        <v>10</v>
      </c>
      <c r="D47" s="8" t="n">
        <v>90</v>
      </c>
      <c r="E47" s="9" t="n">
        <v>13</v>
      </c>
      <c r="F47" s="10" t="n">
        <f aca="false">SUM(B47:E47)</f>
        <v>194</v>
      </c>
    </row>
    <row r="48" customFormat="false" ht="15" hidden="false" customHeight="false" outlineLevel="0" collapsed="false">
      <c r="A48" s="5" t="n">
        <v>43</v>
      </c>
      <c r="B48" s="6" t="n">
        <v>92</v>
      </c>
      <c r="C48" s="7" t="n">
        <v>1</v>
      </c>
      <c r="D48" s="8" t="n">
        <v>93</v>
      </c>
      <c r="E48" s="9" t="n">
        <v>5</v>
      </c>
      <c r="F48" s="10" t="n">
        <f aca="false">SUM(B48:E48)</f>
        <v>191</v>
      </c>
    </row>
    <row r="49" customFormat="false" ht="15" hidden="false" customHeight="false" outlineLevel="0" collapsed="false">
      <c r="A49" s="5" t="n">
        <v>44</v>
      </c>
      <c r="B49" s="6" t="n">
        <v>84</v>
      </c>
      <c r="C49" s="7" t="n">
        <v>16</v>
      </c>
      <c r="D49" s="8" t="n">
        <v>100</v>
      </c>
      <c r="E49" s="9" t="n">
        <v>7</v>
      </c>
      <c r="F49" s="10" t="n">
        <f aca="false">SUM(B49:E49)</f>
        <v>207</v>
      </c>
    </row>
    <row r="50" customFormat="false" ht="15" hidden="false" customHeight="false" outlineLevel="0" collapsed="false">
      <c r="A50" s="5" t="n">
        <v>45</v>
      </c>
      <c r="B50" s="6" t="n">
        <v>66</v>
      </c>
      <c r="C50" s="7" t="n">
        <v>8</v>
      </c>
      <c r="D50" s="8" t="n">
        <v>101</v>
      </c>
      <c r="E50" s="9" t="n">
        <v>5</v>
      </c>
      <c r="F50" s="10" t="n">
        <f aca="false">SUM(B50:E50)</f>
        <v>180</v>
      </c>
    </row>
    <row r="51" customFormat="false" ht="15" hidden="false" customHeight="false" outlineLevel="0" collapsed="false">
      <c r="A51" s="5" t="n">
        <v>46</v>
      </c>
      <c r="B51" s="6" t="n">
        <v>71</v>
      </c>
      <c r="C51" s="7" t="n">
        <v>7</v>
      </c>
      <c r="D51" s="8" t="n">
        <v>77</v>
      </c>
      <c r="E51" s="9" t="n">
        <v>8</v>
      </c>
      <c r="F51" s="10" t="n">
        <f aca="false">SUM(B51:E51)</f>
        <v>163</v>
      </c>
    </row>
    <row r="52" customFormat="false" ht="15" hidden="false" customHeight="false" outlineLevel="0" collapsed="false">
      <c r="A52" s="5" t="n">
        <v>47</v>
      </c>
      <c r="B52" s="6" t="n">
        <v>90</v>
      </c>
      <c r="C52" s="7" t="n">
        <v>5</v>
      </c>
      <c r="D52" s="8" t="n">
        <v>102</v>
      </c>
      <c r="E52" s="9" t="n">
        <v>10</v>
      </c>
      <c r="F52" s="10" t="n">
        <f aca="false">SUM(B52:E52)</f>
        <v>207</v>
      </c>
    </row>
    <row r="53" customFormat="false" ht="15" hidden="false" customHeight="false" outlineLevel="0" collapsed="false">
      <c r="A53" s="5" t="n">
        <v>48</v>
      </c>
      <c r="B53" s="6" t="n">
        <v>78</v>
      </c>
      <c r="C53" s="7" t="n">
        <v>0</v>
      </c>
      <c r="D53" s="8" t="n">
        <v>101</v>
      </c>
      <c r="E53" s="9" t="n">
        <v>1</v>
      </c>
      <c r="F53" s="10" t="n">
        <f aca="false">SUM(B53:E53)</f>
        <v>180</v>
      </c>
    </row>
    <row r="54" customFormat="false" ht="15" hidden="false" customHeight="false" outlineLevel="0" collapsed="false">
      <c r="A54" s="11" t="s">
        <v>9</v>
      </c>
      <c r="B54" s="11" t="n">
        <f aca="false">SUM(B6:B53)</f>
        <v>3868</v>
      </c>
      <c r="C54" s="11" t="n">
        <f aca="false">SUM(C6:C53)</f>
        <v>430</v>
      </c>
      <c r="D54" s="11" t="n">
        <f aca="false">SUM(D6:D53)</f>
        <v>4301</v>
      </c>
      <c r="E54" s="11" t="n">
        <f aca="false">SUM(E6:E53)</f>
        <v>383</v>
      </c>
      <c r="F54" s="11" t="n">
        <f aca="false">SUM(B54:E54)</f>
        <v>8982</v>
      </c>
    </row>
  </sheetData>
  <mergeCells count="5">
    <mergeCell ref="A1:F1"/>
    <mergeCell ref="A2:F2"/>
    <mergeCell ref="A4:A5"/>
    <mergeCell ref="B4:E4"/>
    <mergeCell ref="F4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10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2" t="s">
        <v>2</v>
      </c>
      <c r="B3" s="12" t="s">
        <v>5</v>
      </c>
      <c r="C3" s="12" t="s">
        <v>6</v>
      </c>
      <c r="D3" s="12" t="s">
        <v>7</v>
      </c>
      <c r="E3" s="12" t="s">
        <v>8</v>
      </c>
      <c r="F3" s="12" t="s">
        <v>4</v>
      </c>
    </row>
    <row r="4" customFormat="false" ht="15" hidden="false" customHeight="false" outlineLevel="0" collapsed="false">
      <c r="A4" s="5" t="n">
        <v>1</v>
      </c>
      <c r="B4" s="13" t="n">
        <f aca="false">'Counts (4-state)'!B6/'Counts (4-state)'!$F$6</f>
        <v>0.428571428571429</v>
      </c>
      <c r="C4" s="14" t="n">
        <f aca="false">'Counts (4-state)'!C6/'Counts (4-state)'!$F$6</f>
        <v>0.0492610837438424</v>
      </c>
      <c r="D4" s="15" t="n">
        <f aca="false">'Counts (4-state)'!D6/'Counts (4-state)'!$F$6</f>
        <v>0.477832512315271</v>
      </c>
      <c r="E4" s="16" t="n">
        <f aca="false">'Counts (4-state)'!E6/'Counts (4-state)'!$F$6</f>
        <v>0.0443349753694581</v>
      </c>
      <c r="F4" s="17" t="n">
        <f aca="false">SUM(B4:E4)</f>
        <v>1</v>
      </c>
    </row>
    <row r="5" customFormat="false" ht="15" hidden="false" customHeight="false" outlineLevel="0" collapsed="false">
      <c r="A5" s="5" t="n">
        <v>2</v>
      </c>
      <c r="B5" s="13" t="n">
        <f aca="false">'Counts (4-state)'!B7/'Counts (4-state)'!$F$7</f>
        <v>0.527659574468085</v>
      </c>
      <c r="C5" s="14" t="n">
        <f aca="false">'Counts (4-state)'!C7/'Counts (4-state)'!$F$7</f>
        <v>0</v>
      </c>
      <c r="D5" s="15" t="n">
        <f aca="false">'Counts (4-state)'!D7/'Counts (4-state)'!$F$7</f>
        <v>0.468085106382979</v>
      </c>
      <c r="E5" s="16" t="n">
        <f aca="false">'Counts (4-state)'!E7/'Counts (4-state)'!$F$7</f>
        <v>0.00425531914893617</v>
      </c>
      <c r="F5" s="17" t="n">
        <f aca="false">SUM(B5:E5)</f>
        <v>1</v>
      </c>
    </row>
    <row r="6" customFormat="false" ht="15" hidden="false" customHeight="false" outlineLevel="0" collapsed="false">
      <c r="A6" s="5" t="n">
        <v>3</v>
      </c>
      <c r="B6" s="13" t="n">
        <f aca="false">'Counts (4-state)'!B8/'Counts (4-state)'!$F$8</f>
        <v>0.491017964071856</v>
      </c>
      <c r="C6" s="14" t="n">
        <f aca="false">'Counts (4-state)'!C8/'Counts (4-state)'!$F$8</f>
        <v>0.0179640718562874</v>
      </c>
      <c r="D6" s="15" t="n">
        <f aca="false">'Counts (4-state)'!D8/'Counts (4-state)'!$F$8</f>
        <v>0.473053892215569</v>
      </c>
      <c r="E6" s="16" t="n">
        <f aca="false">'Counts (4-state)'!E8/'Counts (4-state)'!$F$8</f>
        <v>0.0179640718562874</v>
      </c>
      <c r="F6" s="17" t="n">
        <f aca="false">SUM(B6:E6)</f>
        <v>1</v>
      </c>
    </row>
    <row r="7" customFormat="false" ht="15" hidden="false" customHeight="false" outlineLevel="0" collapsed="false">
      <c r="A7" s="5" t="n">
        <v>4</v>
      </c>
      <c r="B7" s="13" t="n">
        <f aca="false">'Counts (4-state)'!B9/'Counts (4-state)'!$F$9</f>
        <v>0.448979591836735</v>
      </c>
      <c r="C7" s="14" t="n">
        <f aca="false">'Counts (4-state)'!C9/'Counts (4-state)'!$F$9</f>
        <v>0.0510204081632653</v>
      </c>
      <c r="D7" s="15" t="n">
        <f aca="false">'Counts (4-state)'!D9/'Counts (4-state)'!$F$9</f>
        <v>0.443877551020408</v>
      </c>
      <c r="E7" s="16" t="n">
        <f aca="false">'Counts (4-state)'!E9/'Counts (4-state)'!$F$9</f>
        <v>0.0561224489795918</v>
      </c>
      <c r="F7" s="17" t="n">
        <f aca="false">SUM(B7:E7)</f>
        <v>1</v>
      </c>
    </row>
    <row r="8" customFormat="false" ht="15" hidden="false" customHeight="false" outlineLevel="0" collapsed="false">
      <c r="A8" s="5" t="n">
        <v>5</v>
      </c>
      <c r="B8" s="13" t="n">
        <f aca="false">'Counts (4-state)'!B10/'Counts (4-state)'!$F$10</f>
        <v>0.451807228915663</v>
      </c>
      <c r="C8" s="14" t="n">
        <f aca="false">'Counts (4-state)'!C10/'Counts (4-state)'!$F$10</f>
        <v>0.072289156626506</v>
      </c>
      <c r="D8" s="15" t="n">
        <f aca="false">'Counts (4-state)'!D10/'Counts (4-state)'!$F$10</f>
        <v>0.421686746987952</v>
      </c>
      <c r="E8" s="16" t="n">
        <f aca="false">'Counts (4-state)'!E10/'Counts (4-state)'!$F$10</f>
        <v>0.0542168674698795</v>
      </c>
      <c r="F8" s="17" t="n">
        <f aca="false">SUM(B8:E8)</f>
        <v>1</v>
      </c>
    </row>
    <row r="9" customFormat="false" ht="15" hidden="false" customHeight="false" outlineLevel="0" collapsed="false">
      <c r="A9" s="5" t="n">
        <v>6</v>
      </c>
      <c r="B9" s="13" t="n">
        <f aca="false">'Counts (4-state)'!B11/'Counts (4-state)'!$F$11</f>
        <v>0.459183673469388</v>
      </c>
      <c r="C9" s="14" t="n">
        <f aca="false">'Counts (4-state)'!C11/'Counts (4-state)'!$F$11</f>
        <v>0.0306122448979592</v>
      </c>
      <c r="D9" s="15" t="n">
        <f aca="false">'Counts (4-state)'!D11/'Counts (4-state)'!$F$11</f>
        <v>0.489795918367347</v>
      </c>
      <c r="E9" s="16" t="n">
        <f aca="false">'Counts (4-state)'!E11/'Counts (4-state)'!$F$11</f>
        <v>0.0204081632653061</v>
      </c>
      <c r="F9" s="17" t="n">
        <f aca="false">SUM(B9:E9)</f>
        <v>1</v>
      </c>
    </row>
    <row r="10" customFormat="false" ht="15" hidden="false" customHeight="false" outlineLevel="0" collapsed="false">
      <c r="A10" s="5" t="n">
        <v>7</v>
      </c>
      <c r="B10" s="13" t="n">
        <f aca="false">'Counts (4-state)'!B12/'Counts (4-state)'!$F$12</f>
        <v>0.447761194029851</v>
      </c>
      <c r="C10" s="14" t="n">
        <f aca="false">'Counts (4-state)'!C12/'Counts (4-state)'!$F$12</f>
        <v>0.0447761194029851</v>
      </c>
      <c r="D10" s="15" t="n">
        <f aca="false">'Counts (4-state)'!D12/'Counts (4-state)'!$F$12</f>
        <v>0.492537313432836</v>
      </c>
      <c r="E10" s="16" t="n">
        <f aca="false">'Counts (4-state)'!E12/'Counts (4-state)'!$F$12</f>
        <v>0.0149253731343284</v>
      </c>
      <c r="F10" s="17" t="n">
        <f aca="false">SUM(B10:E10)</f>
        <v>1</v>
      </c>
    </row>
    <row r="11" customFormat="false" ht="15" hidden="false" customHeight="false" outlineLevel="0" collapsed="false">
      <c r="A11" s="5" t="n">
        <v>8</v>
      </c>
      <c r="B11" s="13" t="n">
        <f aca="false">'Counts (4-state)'!B13/'Counts (4-state)'!$F$13</f>
        <v>0.467336683417085</v>
      </c>
      <c r="C11" s="14" t="n">
        <f aca="false">'Counts (4-state)'!C13/'Counts (4-state)'!$F$13</f>
        <v>0.0301507537688442</v>
      </c>
      <c r="D11" s="15" t="n">
        <f aca="false">'Counts (4-state)'!D13/'Counts (4-state)'!$F$13</f>
        <v>0.477386934673367</v>
      </c>
      <c r="E11" s="16" t="n">
        <f aca="false">'Counts (4-state)'!E13/'Counts (4-state)'!$F$13</f>
        <v>0.0251256281407035</v>
      </c>
      <c r="F11" s="17" t="n">
        <f aca="false">SUM(B11:E11)</f>
        <v>1</v>
      </c>
    </row>
    <row r="12" customFormat="false" ht="15" hidden="false" customHeight="false" outlineLevel="0" collapsed="false">
      <c r="A12" s="5" t="n">
        <v>9</v>
      </c>
      <c r="B12" s="13" t="n">
        <f aca="false">'Counts (4-state)'!B14/'Counts (4-state)'!$F$14</f>
        <v>0.45320197044335</v>
      </c>
      <c r="C12" s="14" t="n">
        <f aca="false">'Counts (4-state)'!C14/'Counts (4-state)'!$F$14</f>
        <v>0.0197044334975369</v>
      </c>
      <c r="D12" s="15" t="n">
        <f aca="false">'Counts (4-state)'!D14/'Counts (4-state)'!$F$14</f>
        <v>0.527093596059113</v>
      </c>
      <c r="E12" s="16" t="n">
        <f aca="false">'Counts (4-state)'!E14/'Counts (4-state)'!$F$14</f>
        <v>0</v>
      </c>
      <c r="F12" s="17" t="n">
        <f aca="false">SUM(B12:E12)</f>
        <v>1</v>
      </c>
    </row>
    <row r="13" customFormat="false" ht="15" hidden="false" customHeight="false" outlineLevel="0" collapsed="false">
      <c r="A13" s="5" t="n">
        <v>10</v>
      </c>
      <c r="B13" s="13" t="n">
        <f aca="false">'Counts (4-state)'!B15/'Counts (4-state)'!$F$15</f>
        <v>0.468421052631579</v>
      </c>
      <c r="C13" s="14" t="n">
        <f aca="false">'Counts (4-state)'!C15/'Counts (4-state)'!$F$15</f>
        <v>0.0263157894736842</v>
      </c>
      <c r="D13" s="15" t="n">
        <f aca="false">'Counts (4-state)'!D15/'Counts (4-state)'!$F$15</f>
        <v>0.426315789473684</v>
      </c>
      <c r="E13" s="16" t="n">
        <f aca="false">'Counts (4-state)'!E15/'Counts (4-state)'!$F$15</f>
        <v>0.0789473684210526</v>
      </c>
      <c r="F13" s="17" t="n">
        <f aca="false">SUM(B13:E13)</f>
        <v>1</v>
      </c>
    </row>
    <row r="14" customFormat="false" ht="15" hidden="false" customHeight="false" outlineLevel="0" collapsed="false">
      <c r="A14" s="5" t="n">
        <v>11</v>
      </c>
      <c r="B14" s="13" t="n">
        <f aca="false">'Counts (4-state)'!B16/'Counts (4-state)'!$F$16</f>
        <v>0.390243902439024</v>
      </c>
      <c r="C14" s="14" t="n">
        <f aca="false">'Counts (4-state)'!C16/'Counts (4-state)'!$F$16</f>
        <v>0.0585365853658537</v>
      </c>
      <c r="D14" s="15" t="n">
        <f aca="false">'Counts (4-state)'!D16/'Counts (4-state)'!$F$16</f>
        <v>0.526829268292683</v>
      </c>
      <c r="E14" s="16" t="n">
        <f aca="false">'Counts (4-state)'!E16/'Counts (4-state)'!$F$16</f>
        <v>0.024390243902439</v>
      </c>
      <c r="F14" s="17" t="n">
        <f aca="false">SUM(B14:E14)</f>
        <v>1</v>
      </c>
    </row>
    <row r="15" customFormat="false" ht="15" hidden="false" customHeight="false" outlineLevel="0" collapsed="false">
      <c r="A15" s="5" t="n">
        <v>12</v>
      </c>
      <c r="B15" s="13" t="n">
        <f aca="false">'Counts (4-state)'!B17/'Counts (4-state)'!$F$17</f>
        <v>0.413461538461538</v>
      </c>
      <c r="C15" s="14" t="n">
        <f aca="false">'Counts (4-state)'!C17/'Counts (4-state)'!$F$17</f>
        <v>0.0432692307692308</v>
      </c>
      <c r="D15" s="15" t="n">
        <f aca="false">'Counts (4-state)'!D17/'Counts (4-state)'!$F$17</f>
        <v>0.471153846153846</v>
      </c>
      <c r="E15" s="16" t="n">
        <f aca="false">'Counts (4-state)'!E17/'Counts (4-state)'!$F$17</f>
        <v>0.0721153846153846</v>
      </c>
      <c r="F15" s="17" t="n">
        <f aca="false">SUM(B15:E15)</f>
        <v>1</v>
      </c>
    </row>
    <row r="16" customFormat="false" ht="15" hidden="false" customHeight="false" outlineLevel="0" collapsed="false">
      <c r="A16" s="5" t="n">
        <v>13</v>
      </c>
      <c r="B16" s="13" t="n">
        <f aca="false">'Counts (4-state)'!B18/'Counts (4-state)'!$F$18</f>
        <v>0.40952380952381</v>
      </c>
      <c r="C16" s="14" t="n">
        <f aca="false">'Counts (4-state)'!C18/'Counts (4-state)'!$F$18</f>
        <v>0.0619047619047619</v>
      </c>
      <c r="D16" s="15" t="n">
        <f aca="false">'Counts (4-state)'!D18/'Counts (4-state)'!$F$18</f>
        <v>0.466666666666667</v>
      </c>
      <c r="E16" s="16" t="n">
        <f aca="false">'Counts (4-state)'!E18/'Counts (4-state)'!$F$18</f>
        <v>0.0619047619047619</v>
      </c>
      <c r="F16" s="17" t="n">
        <f aca="false">SUM(B16:E16)</f>
        <v>1</v>
      </c>
    </row>
    <row r="17" customFormat="false" ht="15" hidden="false" customHeight="false" outlineLevel="0" collapsed="false">
      <c r="A17" s="5" t="n">
        <v>14</v>
      </c>
      <c r="B17" s="13" t="n">
        <f aca="false">'Counts (4-state)'!B19/'Counts (4-state)'!$F$19</f>
        <v>0.435897435897436</v>
      </c>
      <c r="C17" s="14" t="n">
        <f aca="false">'Counts (4-state)'!C19/'Counts (4-state)'!$F$19</f>
        <v>0.0564102564102564</v>
      </c>
      <c r="D17" s="15" t="n">
        <f aca="false">'Counts (4-state)'!D19/'Counts (4-state)'!$F$19</f>
        <v>0.482051282051282</v>
      </c>
      <c r="E17" s="16" t="n">
        <f aca="false">'Counts (4-state)'!E19/'Counts (4-state)'!$F$19</f>
        <v>0.0256410256410256</v>
      </c>
      <c r="F17" s="17" t="n">
        <f aca="false">SUM(B17:E17)</f>
        <v>1</v>
      </c>
    </row>
    <row r="18" customFormat="false" ht="15" hidden="false" customHeight="false" outlineLevel="0" collapsed="false">
      <c r="A18" s="5" t="n">
        <v>15</v>
      </c>
      <c r="B18" s="13" t="n">
        <f aca="false">'Counts (4-state)'!B20/'Counts (4-state)'!$F$20</f>
        <v>0.467032967032967</v>
      </c>
      <c r="C18" s="14" t="n">
        <f aca="false">'Counts (4-state)'!C20/'Counts (4-state)'!$F$20</f>
        <v>0.043956043956044</v>
      </c>
      <c r="D18" s="15" t="n">
        <f aca="false">'Counts (4-state)'!D20/'Counts (4-state)'!$F$20</f>
        <v>0.406593406593407</v>
      </c>
      <c r="E18" s="16" t="n">
        <f aca="false">'Counts (4-state)'!E20/'Counts (4-state)'!$F$20</f>
        <v>0.0824175824175824</v>
      </c>
      <c r="F18" s="17" t="n">
        <f aca="false">SUM(B18:E18)</f>
        <v>1</v>
      </c>
    </row>
    <row r="19" customFormat="false" ht="15" hidden="false" customHeight="false" outlineLevel="0" collapsed="false">
      <c r="A19" s="5" t="n">
        <v>16</v>
      </c>
      <c r="B19" s="13" t="n">
        <f aca="false">'Counts (4-state)'!B21/'Counts (4-state)'!$F$21</f>
        <v>0.379888268156425</v>
      </c>
      <c r="C19" s="14" t="n">
        <f aca="false">'Counts (4-state)'!C21/'Counts (4-state)'!$F$21</f>
        <v>0.100558659217877</v>
      </c>
      <c r="D19" s="15" t="n">
        <f aca="false">'Counts (4-state)'!D21/'Counts (4-state)'!$F$21</f>
        <v>0.486033519553073</v>
      </c>
      <c r="E19" s="16" t="n">
        <f aca="false">'Counts (4-state)'!E21/'Counts (4-state)'!$F$21</f>
        <v>0.0335195530726257</v>
      </c>
      <c r="F19" s="17" t="n">
        <f aca="false">SUM(B19:E19)</f>
        <v>1</v>
      </c>
    </row>
    <row r="20" customFormat="false" ht="15" hidden="false" customHeight="false" outlineLevel="0" collapsed="false">
      <c r="A20" s="5" t="n">
        <v>17</v>
      </c>
      <c r="B20" s="13" t="n">
        <f aca="false">'Counts (4-state)'!B22/'Counts (4-state)'!$F$22</f>
        <v>0.38953488372093</v>
      </c>
      <c r="C20" s="14" t="n">
        <f aca="false">'Counts (4-state)'!C22/'Counts (4-state)'!$F$22</f>
        <v>0.104651162790698</v>
      </c>
      <c r="D20" s="15" t="n">
        <f aca="false">'Counts (4-state)'!D22/'Counts (4-state)'!$F$22</f>
        <v>0.36046511627907</v>
      </c>
      <c r="E20" s="16" t="n">
        <f aca="false">'Counts (4-state)'!E22/'Counts (4-state)'!$F$22</f>
        <v>0.145348837209302</v>
      </c>
      <c r="F20" s="17" t="n">
        <f aca="false">SUM(B20:E20)</f>
        <v>1</v>
      </c>
    </row>
    <row r="21" customFormat="false" ht="15" hidden="false" customHeight="false" outlineLevel="0" collapsed="false">
      <c r="A21" s="5" t="n">
        <v>18</v>
      </c>
      <c r="B21" s="13" t="n">
        <f aca="false">'Counts (4-state)'!B23/'Counts (4-state)'!$F$23</f>
        <v>0.359649122807018</v>
      </c>
      <c r="C21" s="14" t="n">
        <f aca="false">'Counts (4-state)'!C23/'Counts (4-state)'!$F$23</f>
        <v>0.0263157894736842</v>
      </c>
      <c r="D21" s="15" t="n">
        <f aca="false">'Counts (4-state)'!D23/'Counts (4-state)'!$F$23</f>
        <v>0.56140350877193</v>
      </c>
      <c r="E21" s="16" t="n">
        <f aca="false">'Counts (4-state)'!E23/'Counts (4-state)'!$F$23</f>
        <v>0.0526315789473684</v>
      </c>
      <c r="F21" s="17" t="n">
        <f aca="false">SUM(B21:E21)</f>
        <v>1</v>
      </c>
    </row>
    <row r="22" customFormat="false" ht="15" hidden="false" customHeight="false" outlineLevel="0" collapsed="false">
      <c r="A22" s="5" t="n">
        <v>19</v>
      </c>
      <c r="B22" s="13" t="n">
        <f aca="false">'Counts (4-state)'!B24/'Counts (4-state)'!$F$24</f>
        <v>0.46039603960396</v>
      </c>
      <c r="C22" s="14" t="n">
        <f aca="false">'Counts (4-state)'!C24/'Counts (4-state)'!$F$24</f>
        <v>0.0247524752475248</v>
      </c>
      <c r="D22" s="15" t="n">
        <f aca="false">'Counts (4-state)'!D24/'Counts (4-state)'!$F$24</f>
        <v>0.495049504950495</v>
      </c>
      <c r="E22" s="16" t="n">
        <f aca="false">'Counts (4-state)'!E24/'Counts (4-state)'!$F$24</f>
        <v>0.0198019801980198</v>
      </c>
      <c r="F22" s="17" t="n">
        <f aca="false">SUM(B22:E22)</f>
        <v>1</v>
      </c>
    </row>
    <row r="23" customFormat="false" ht="15" hidden="false" customHeight="false" outlineLevel="0" collapsed="false">
      <c r="A23" s="5" t="n">
        <v>20</v>
      </c>
      <c r="B23" s="13" t="n">
        <f aca="false">'Counts (4-state)'!B25/'Counts (4-state)'!$F$25</f>
        <v>0.360655737704918</v>
      </c>
      <c r="C23" s="14" t="n">
        <f aca="false">'Counts (4-state)'!C25/'Counts (4-state)'!$F$25</f>
        <v>0.0819672131147541</v>
      </c>
      <c r="D23" s="15" t="n">
        <f aca="false">'Counts (4-state)'!D25/'Counts (4-state)'!$F$25</f>
        <v>0.459016393442623</v>
      </c>
      <c r="E23" s="16" t="n">
        <f aca="false">'Counts (4-state)'!E25/'Counts (4-state)'!$F$25</f>
        <v>0.0983606557377049</v>
      </c>
      <c r="F23" s="17" t="n">
        <f aca="false">SUM(B23:E23)</f>
        <v>1</v>
      </c>
    </row>
    <row r="24" customFormat="false" ht="15" hidden="false" customHeight="false" outlineLevel="0" collapsed="false">
      <c r="A24" s="5" t="n">
        <v>21</v>
      </c>
      <c r="B24" s="13" t="n">
        <f aca="false">'Counts (4-state)'!B26/'Counts (4-state)'!$F$26</f>
        <v>0.48421052631579</v>
      </c>
      <c r="C24" s="14" t="n">
        <f aca="false">'Counts (4-state)'!C26/'Counts (4-state)'!$F$26</f>
        <v>0.0631578947368421</v>
      </c>
      <c r="D24" s="15" t="n">
        <f aca="false">'Counts (4-state)'!D26/'Counts (4-state)'!$F$26</f>
        <v>0.410526315789474</v>
      </c>
      <c r="E24" s="16" t="n">
        <f aca="false">'Counts (4-state)'!E26/'Counts (4-state)'!$F$26</f>
        <v>0.0421052631578947</v>
      </c>
      <c r="F24" s="17" t="n">
        <f aca="false">SUM(B24:E24)</f>
        <v>1</v>
      </c>
    </row>
    <row r="25" customFormat="false" ht="15" hidden="false" customHeight="false" outlineLevel="0" collapsed="false">
      <c r="A25" s="5" t="n">
        <v>22</v>
      </c>
      <c r="B25" s="13" t="n">
        <f aca="false">'Counts (4-state)'!B27/'Counts (4-state)'!$F$27</f>
        <v>0.446700507614213</v>
      </c>
      <c r="C25" s="14" t="n">
        <f aca="false">'Counts (4-state)'!C27/'Counts (4-state)'!$F$27</f>
        <v>0.0152284263959391</v>
      </c>
      <c r="D25" s="15" t="n">
        <f aca="false">'Counts (4-state)'!D27/'Counts (4-state)'!$F$27</f>
        <v>0.487309644670051</v>
      </c>
      <c r="E25" s="16" t="n">
        <f aca="false">'Counts (4-state)'!E27/'Counts (4-state)'!$F$27</f>
        <v>0.050761421319797</v>
      </c>
      <c r="F25" s="17" t="n">
        <f aca="false">SUM(B25:E25)</f>
        <v>1</v>
      </c>
    </row>
    <row r="26" customFormat="false" ht="15" hidden="false" customHeight="false" outlineLevel="0" collapsed="false">
      <c r="A26" s="5" t="n">
        <v>23</v>
      </c>
      <c r="B26" s="13" t="n">
        <f aca="false">'Counts (4-state)'!B28/'Counts (4-state)'!$F$28</f>
        <v>0.474226804123711</v>
      </c>
      <c r="C26" s="14" t="n">
        <f aca="false">'Counts (4-state)'!C28/'Counts (4-state)'!$F$28</f>
        <v>0.0103092783505155</v>
      </c>
      <c r="D26" s="15" t="n">
        <f aca="false">'Counts (4-state)'!D28/'Counts (4-state)'!$F$28</f>
        <v>0.494845360824742</v>
      </c>
      <c r="E26" s="16" t="n">
        <f aca="false">'Counts (4-state)'!E28/'Counts (4-state)'!$F$28</f>
        <v>0.0206185567010309</v>
      </c>
      <c r="F26" s="17" t="n">
        <f aca="false">SUM(B26:E26)</f>
        <v>1</v>
      </c>
    </row>
    <row r="27" customFormat="false" ht="15" hidden="false" customHeight="false" outlineLevel="0" collapsed="false">
      <c r="A27" s="5" t="n">
        <v>24</v>
      </c>
      <c r="B27" s="13" t="n">
        <f aca="false">'Counts (4-state)'!B29/'Counts (4-state)'!$F$29</f>
        <v>0.431372549019608</v>
      </c>
      <c r="C27" s="14" t="n">
        <f aca="false">'Counts (4-state)'!C29/'Counts (4-state)'!$F$29</f>
        <v>0.0130718954248366</v>
      </c>
      <c r="D27" s="15" t="n">
        <f aca="false">'Counts (4-state)'!D29/'Counts (4-state)'!$F$29</f>
        <v>0.555555555555556</v>
      </c>
      <c r="E27" s="16" t="n">
        <f aca="false">'Counts (4-state)'!E29/'Counts (4-state)'!$F$29</f>
        <v>0</v>
      </c>
      <c r="F27" s="17" t="n">
        <f aca="false">SUM(B27:E27)</f>
        <v>1</v>
      </c>
    </row>
    <row r="28" customFormat="false" ht="15" hidden="false" customHeight="false" outlineLevel="0" collapsed="false">
      <c r="A28" s="5" t="n">
        <v>25</v>
      </c>
      <c r="B28" s="13" t="n">
        <f aca="false">'Counts (4-state)'!B30/'Counts (4-state)'!$F$30</f>
        <v>0.424242424242424</v>
      </c>
      <c r="C28" s="14" t="n">
        <f aca="false">'Counts (4-state)'!C30/'Counts (4-state)'!$F$30</f>
        <v>0.0606060606060606</v>
      </c>
      <c r="D28" s="15" t="n">
        <f aca="false">'Counts (4-state)'!D30/'Counts (4-state)'!$F$30</f>
        <v>0.47979797979798</v>
      </c>
      <c r="E28" s="16" t="n">
        <f aca="false">'Counts (4-state)'!E30/'Counts (4-state)'!$F$30</f>
        <v>0.0353535353535354</v>
      </c>
      <c r="F28" s="17" t="n">
        <f aca="false">SUM(B28:E28)</f>
        <v>1</v>
      </c>
    </row>
    <row r="29" customFormat="false" ht="15" hidden="false" customHeight="false" outlineLevel="0" collapsed="false">
      <c r="A29" s="5" t="n">
        <v>26</v>
      </c>
      <c r="B29" s="13" t="n">
        <f aca="false">'Counts (4-state)'!B31/'Counts (4-state)'!$F$31</f>
        <v>0.402234636871508</v>
      </c>
      <c r="C29" s="14" t="n">
        <f aca="false">'Counts (4-state)'!C31/'Counts (4-state)'!$F$31</f>
        <v>0.106145251396648</v>
      </c>
      <c r="D29" s="15" t="n">
        <f aca="false">'Counts (4-state)'!D31/'Counts (4-state)'!$F$31</f>
        <v>0.486033519553073</v>
      </c>
      <c r="E29" s="16" t="n">
        <f aca="false">'Counts (4-state)'!E31/'Counts (4-state)'!$F$31</f>
        <v>0.00558659217877095</v>
      </c>
      <c r="F29" s="17" t="n">
        <f aca="false">SUM(B29:E29)</f>
        <v>1</v>
      </c>
    </row>
    <row r="30" customFormat="false" ht="15" hidden="false" customHeight="false" outlineLevel="0" collapsed="false">
      <c r="A30" s="5" t="n">
        <v>27</v>
      </c>
      <c r="B30" s="13" t="n">
        <f aca="false">'Counts (4-state)'!B32/'Counts (4-state)'!$F$32</f>
        <v>0.44973544973545</v>
      </c>
      <c r="C30" s="14" t="n">
        <f aca="false">'Counts (4-state)'!C32/'Counts (4-state)'!$F$32</f>
        <v>0.0476190476190476</v>
      </c>
      <c r="D30" s="15" t="n">
        <f aca="false">'Counts (4-state)'!D32/'Counts (4-state)'!$F$32</f>
        <v>0.470899470899471</v>
      </c>
      <c r="E30" s="16" t="n">
        <f aca="false">'Counts (4-state)'!E32/'Counts (4-state)'!$F$32</f>
        <v>0.0317460317460317</v>
      </c>
      <c r="F30" s="17" t="n">
        <f aca="false">SUM(B30:E30)</f>
        <v>1</v>
      </c>
    </row>
    <row r="31" customFormat="false" ht="15" hidden="false" customHeight="false" outlineLevel="0" collapsed="false">
      <c r="A31" s="5" t="n">
        <v>28</v>
      </c>
      <c r="B31" s="13" t="n">
        <f aca="false">'Counts (4-state)'!B33/'Counts (4-state)'!$F$33</f>
        <v>0.459183673469388</v>
      </c>
      <c r="C31" s="14" t="n">
        <f aca="false">'Counts (4-state)'!C33/'Counts (4-state)'!$F$33</f>
        <v>0.0357142857142857</v>
      </c>
      <c r="D31" s="15" t="n">
        <f aca="false">'Counts (4-state)'!D33/'Counts (4-state)'!$F$33</f>
        <v>0.474489795918367</v>
      </c>
      <c r="E31" s="16" t="n">
        <f aca="false">'Counts (4-state)'!E33/'Counts (4-state)'!$F$33</f>
        <v>0.0306122448979592</v>
      </c>
      <c r="F31" s="17" t="n">
        <f aca="false">SUM(B31:E31)</f>
        <v>1</v>
      </c>
    </row>
    <row r="32" customFormat="false" ht="15" hidden="false" customHeight="false" outlineLevel="0" collapsed="false">
      <c r="A32" s="5" t="n">
        <v>29</v>
      </c>
      <c r="B32" s="13" t="n">
        <f aca="false">'Counts (4-state)'!B34/'Counts (4-state)'!$F$34</f>
        <v>0.38728323699422</v>
      </c>
      <c r="C32" s="14" t="n">
        <f aca="false">'Counts (4-state)'!C34/'Counts (4-state)'!$F$34</f>
        <v>0.0867052023121387</v>
      </c>
      <c r="D32" s="15" t="n">
        <f aca="false">'Counts (4-state)'!D34/'Counts (4-state)'!$F$34</f>
        <v>0.450867052023121</v>
      </c>
      <c r="E32" s="16" t="n">
        <f aca="false">'Counts (4-state)'!E34/'Counts (4-state)'!$F$34</f>
        <v>0.0751445086705202</v>
      </c>
      <c r="F32" s="17" t="n">
        <f aca="false">SUM(B32:E32)</f>
        <v>1</v>
      </c>
    </row>
    <row r="33" customFormat="false" ht="15" hidden="false" customHeight="false" outlineLevel="0" collapsed="false">
      <c r="A33" s="5" t="n">
        <v>30</v>
      </c>
      <c r="B33" s="13" t="n">
        <f aca="false">'Counts (4-state)'!B35/'Counts (4-state)'!$F$35</f>
        <v>0.487562189054726</v>
      </c>
      <c r="C33" s="14" t="n">
        <f aca="false">'Counts (4-state)'!C35/'Counts (4-state)'!$F$35</f>
        <v>0</v>
      </c>
      <c r="D33" s="15" t="n">
        <f aca="false">'Counts (4-state)'!D35/'Counts (4-state)'!$F$35</f>
        <v>0.497512437810945</v>
      </c>
      <c r="E33" s="16" t="n">
        <f aca="false">'Counts (4-state)'!E35/'Counts (4-state)'!$F$35</f>
        <v>0.0149253731343284</v>
      </c>
      <c r="F33" s="17" t="n">
        <f aca="false">SUM(B33:E33)</f>
        <v>1</v>
      </c>
    </row>
    <row r="34" customFormat="false" ht="15" hidden="false" customHeight="false" outlineLevel="0" collapsed="false">
      <c r="A34" s="5" t="n">
        <v>31</v>
      </c>
      <c r="B34" s="13" t="n">
        <f aca="false">'Counts (4-state)'!B36/'Counts (4-state)'!$F$36</f>
        <v>0.435233160621762</v>
      </c>
      <c r="C34" s="14" t="n">
        <f aca="false">'Counts (4-state)'!C36/'Counts (4-state)'!$F$36</f>
        <v>0.0518134715025907</v>
      </c>
      <c r="D34" s="15" t="n">
        <f aca="false">'Counts (4-state)'!D36/'Counts (4-state)'!$F$36</f>
        <v>0.487046632124352</v>
      </c>
      <c r="E34" s="16" t="n">
        <f aca="false">'Counts (4-state)'!E36/'Counts (4-state)'!$F$36</f>
        <v>0.0259067357512953</v>
      </c>
      <c r="F34" s="17" t="n">
        <f aca="false">SUM(B34:E34)</f>
        <v>1</v>
      </c>
    </row>
    <row r="35" customFormat="false" ht="15" hidden="false" customHeight="false" outlineLevel="0" collapsed="false">
      <c r="A35" s="5" t="n">
        <v>32</v>
      </c>
      <c r="B35" s="13" t="n">
        <f aca="false">'Counts (4-state)'!B37/'Counts (4-state)'!$F$37</f>
        <v>0.404109589041096</v>
      </c>
      <c r="C35" s="14" t="n">
        <f aca="false">'Counts (4-state)'!C37/'Counts (4-state)'!$F$37</f>
        <v>0.0753424657534247</v>
      </c>
      <c r="D35" s="15" t="n">
        <f aca="false">'Counts (4-state)'!D37/'Counts (4-state)'!$F$37</f>
        <v>0.383561643835616</v>
      </c>
      <c r="E35" s="16" t="n">
        <f aca="false">'Counts (4-state)'!E37/'Counts (4-state)'!$F$37</f>
        <v>0.136986301369863</v>
      </c>
      <c r="F35" s="17" t="n">
        <f aca="false">SUM(B35:E35)</f>
        <v>1</v>
      </c>
    </row>
    <row r="36" customFormat="false" ht="15" hidden="false" customHeight="false" outlineLevel="0" collapsed="false">
      <c r="A36" s="5" t="n">
        <v>33</v>
      </c>
      <c r="B36" s="13" t="n">
        <f aca="false">'Counts (4-state)'!B38/'Counts (4-state)'!$F$38</f>
        <v>0.406542056074766</v>
      </c>
      <c r="C36" s="14" t="n">
        <f aca="false">'Counts (4-state)'!C38/'Counts (4-state)'!$F$38</f>
        <v>0.0654205607476635</v>
      </c>
      <c r="D36" s="15" t="n">
        <f aca="false">'Counts (4-state)'!D38/'Counts (4-state)'!$F$38</f>
        <v>0.448598130841122</v>
      </c>
      <c r="E36" s="16" t="n">
        <f aca="false">'Counts (4-state)'!E38/'Counts (4-state)'!$F$38</f>
        <v>0.0794392523364486</v>
      </c>
      <c r="F36" s="17" t="n">
        <f aca="false">SUM(B36:E36)</f>
        <v>1</v>
      </c>
    </row>
    <row r="37" customFormat="false" ht="15" hidden="false" customHeight="false" outlineLevel="0" collapsed="false">
      <c r="A37" s="5" t="n">
        <v>34</v>
      </c>
      <c r="B37" s="13" t="n">
        <f aca="false">'Counts (4-state)'!B39/'Counts (4-state)'!$F$39</f>
        <v>0.418367346938776</v>
      </c>
      <c r="C37" s="14" t="n">
        <f aca="false">'Counts (4-state)'!C39/'Counts (4-state)'!$F$39</f>
        <v>0.0714285714285714</v>
      </c>
      <c r="D37" s="15" t="n">
        <f aca="false">'Counts (4-state)'!D39/'Counts (4-state)'!$F$39</f>
        <v>0.464285714285714</v>
      </c>
      <c r="E37" s="16" t="n">
        <f aca="false">'Counts (4-state)'!E39/'Counts (4-state)'!$F$39</f>
        <v>0.0459183673469388</v>
      </c>
      <c r="F37" s="17" t="n">
        <f aca="false">SUM(B37:E37)</f>
        <v>1</v>
      </c>
    </row>
    <row r="38" customFormat="false" ht="15" hidden="false" customHeight="false" outlineLevel="0" collapsed="false">
      <c r="A38" s="5" t="n">
        <v>35</v>
      </c>
      <c r="B38" s="13" t="n">
        <f aca="false">'Counts (4-state)'!B40/'Counts (4-state)'!$F$40</f>
        <v>0.383177570093458</v>
      </c>
      <c r="C38" s="14" t="n">
        <f aca="false">'Counts (4-state)'!C40/'Counts (4-state)'!$F$40</f>
        <v>0.0747663551401869</v>
      </c>
      <c r="D38" s="15" t="n">
        <f aca="false">'Counts (4-state)'!D40/'Counts (4-state)'!$F$40</f>
        <v>0.490654205607477</v>
      </c>
      <c r="E38" s="16" t="n">
        <f aca="false">'Counts (4-state)'!E40/'Counts (4-state)'!$F$40</f>
        <v>0.0514018691588785</v>
      </c>
      <c r="F38" s="17" t="n">
        <f aca="false">SUM(B38:E38)</f>
        <v>1</v>
      </c>
    </row>
    <row r="39" customFormat="false" ht="15" hidden="false" customHeight="false" outlineLevel="0" collapsed="false">
      <c r="A39" s="5" t="n">
        <v>36</v>
      </c>
      <c r="B39" s="13" t="n">
        <f aca="false">'Counts (4-state)'!B41/'Counts (4-state)'!$F$41</f>
        <v>0.4</v>
      </c>
      <c r="C39" s="14" t="n">
        <f aca="false">'Counts (4-state)'!C41/'Counts (4-state)'!$F$41</f>
        <v>0.0666666666666667</v>
      </c>
      <c r="D39" s="15" t="n">
        <f aca="false">'Counts (4-state)'!D41/'Counts (4-state)'!$F$41</f>
        <v>0.495238095238095</v>
      </c>
      <c r="E39" s="16" t="n">
        <f aca="false">'Counts (4-state)'!E41/'Counts (4-state)'!$F$41</f>
        <v>0.0380952380952381</v>
      </c>
      <c r="F39" s="17" t="n">
        <f aca="false">SUM(B39:E39)</f>
        <v>1</v>
      </c>
    </row>
    <row r="40" customFormat="false" ht="15" hidden="false" customHeight="false" outlineLevel="0" collapsed="false">
      <c r="A40" s="5" t="n">
        <v>37</v>
      </c>
      <c r="B40" s="13" t="n">
        <f aca="false">'Counts (4-state)'!B42/'Counts (4-state)'!$F$42</f>
        <v>0.420454545454545</v>
      </c>
      <c r="C40" s="14" t="n">
        <f aca="false">'Counts (4-state)'!C42/'Counts (4-state)'!$F$42</f>
        <v>0.0397727272727273</v>
      </c>
      <c r="D40" s="15" t="n">
        <f aca="false">'Counts (4-state)'!D42/'Counts (4-state)'!$F$42</f>
        <v>0.482954545454545</v>
      </c>
      <c r="E40" s="16" t="n">
        <f aca="false">'Counts (4-state)'!E42/'Counts (4-state)'!$F$42</f>
        <v>0.0568181818181818</v>
      </c>
      <c r="F40" s="17" t="n">
        <f aca="false">SUM(B40:E40)</f>
        <v>1</v>
      </c>
    </row>
    <row r="41" customFormat="false" ht="15" hidden="false" customHeight="false" outlineLevel="0" collapsed="false">
      <c r="A41" s="5" t="n">
        <v>38</v>
      </c>
      <c r="B41" s="13" t="n">
        <f aca="false">'Counts (4-state)'!B43/'Counts (4-state)'!$F$43</f>
        <v>0.391534391534392</v>
      </c>
      <c r="C41" s="14" t="n">
        <f aca="false">'Counts (4-state)'!C43/'Counts (4-state)'!$F$43</f>
        <v>0.0846560846560847</v>
      </c>
      <c r="D41" s="15" t="n">
        <f aca="false">'Counts (4-state)'!D43/'Counts (4-state)'!$F$43</f>
        <v>0.470899470899471</v>
      </c>
      <c r="E41" s="16" t="n">
        <f aca="false">'Counts (4-state)'!E43/'Counts (4-state)'!$F$43</f>
        <v>0.0529100529100529</v>
      </c>
      <c r="F41" s="17" t="n">
        <f aca="false">SUM(B41:E41)</f>
        <v>1</v>
      </c>
    </row>
    <row r="42" customFormat="false" ht="15" hidden="false" customHeight="false" outlineLevel="0" collapsed="false">
      <c r="A42" s="5" t="n">
        <v>39</v>
      </c>
      <c r="B42" s="13" t="n">
        <f aca="false">'Counts (4-state)'!B44/'Counts (4-state)'!$F$44</f>
        <v>0.385714285714286</v>
      </c>
      <c r="C42" s="14" t="n">
        <f aca="false">'Counts (4-state)'!C44/'Counts (4-state)'!$F$44</f>
        <v>0.0928571428571429</v>
      </c>
      <c r="D42" s="15" t="n">
        <f aca="false">'Counts (4-state)'!D44/'Counts (4-state)'!$F$44</f>
        <v>0.471428571428571</v>
      </c>
      <c r="E42" s="16" t="n">
        <f aca="false">'Counts (4-state)'!E44/'Counts (4-state)'!$F$44</f>
        <v>0.05</v>
      </c>
      <c r="F42" s="17" t="n">
        <f aca="false">SUM(B42:E42)</f>
        <v>1</v>
      </c>
    </row>
    <row r="43" customFormat="false" ht="15" hidden="false" customHeight="false" outlineLevel="0" collapsed="false">
      <c r="A43" s="5" t="n">
        <v>40</v>
      </c>
      <c r="B43" s="13" t="n">
        <f aca="false">'Counts (4-state)'!B45/'Counts (4-state)'!$F$45</f>
        <v>0.443349753694581</v>
      </c>
      <c r="C43" s="14" t="n">
        <f aca="false">'Counts (4-state)'!C45/'Counts (4-state)'!$F$45</f>
        <v>0.0197044334975369</v>
      </c>
      <c r="D43" s="15" t="n">
        <f aca="false">'Counts (4-state)'!D45/'Counts (4-state)'!$F$45</f>
        <v>0.522167487684729</v>
      </c>
      <c r="E43" s="16" t="n">
        <f aca="false">'Counts (4-state)'!E45/'Counts (4-state)'!$F$45</f>
        <v>0.0147783251231527</v>
      </c>
      <c r="F43" s="17" t="n">
        <f aca="false">SUM(B43:E43)</f>
        <v>1</v>
      </c>
    </row>
    <row r="44" customFormat="false" ht="15" hidden="false" customHeight="false" outlineLevel="0" collapsed="false">
      <c r="A44" s="5" t="n">
        <v>41</v>
      </c>
      <c r="B44" s="13" t="n">
        <f aca="false">'Counts (4-state)'!B46/'Counts (4-state)'!$F$46</f>
        <v>0.409090909090909</v>
      </c>
      <c r="C44" s="14" t="n">
        <f aca="false">'Counts (4-state)'!C46/'Counts (4-state)'!$F$46</f>
        <v>0.0606060606060606</v>
      </c>
      <c r="D44" s="15" t="n">
        <f aca="false">'Counts (4-state)'!D46/'Counts (4-state)'!$F$46</f>
        <v>0.48989898989899</v>
      </c>
      <c r="E44" s="16" t="n">
        <f aca="false">'Counts (4-state)'!E46/'Counts (4-state)'!$F$46</f>
        <v>0.0404040404040404</v>
      </c>
      <c r="F44" s="17" t="n">
        <f aca="false">SUM(B44:E44)</f>
        <v>1</v>
      </c>
    </row>
    <row r="45" customFormat="false" ht="15" hidden="false" customHeight="false" outlineLevel="0" collapsed="false">
      <c r="A45" s="5" t="n">
        <v>42</v>
      </c>
      <c r="B45" s="13" t="n">
        <f aca="false">'Counts (4-state)'!B47/'Counts (4-state)'!$F$47</f>
        <v>0.417525773195876</v>
      </c>
      <c r="C45" s="14" t="n">
        <f aca="false">'Counts (4-state)'!C47/'Counts (4-state)'!$F$47</f>
        <v>0.0515463917525773</v>
      </c>
      <c r="D45" s="15" t="n">
        <f aca="false">'Counts (4-state)'!D47/'Counts (4-state)'!$F$47</f>
        <v>0.463917525773196</v>
      </c>
      <c r="E45" s="16" t="n">
        <f aca="false">'Counts (4-state)'!E47/'Counts (4-state)'!$F$47</f>
        <v>0.0670103092783505</v>
      </c>
      <c r="F45" s="17" t="n">
        <f aca="false">SUM(B45:E45)</f>
        <v>1</v>
      </c>
    </row>
    <row r="46" customFormat="false" ht="15" hidden="false" customHeight="false" outlineLevel="0" collapsed="false">
      <c r="A46" s="5" t="n">
        <v>43</v>
      </c>
      <c r="B46" s="13" t="n">
        <f aca="false">'Counts (4-state)'!B48/'Counts (4-state)'!$F$48</f>
        <v>0.481675392670157</v>
      </c>
      <c r="C46" s="14" t="n">
        <f aca="false">'Counts (4-state)'!C48/'Counts (4-state)'!$F$48</f>
        <v>0.00523560209424084</v>
      </c>
      <c r="D46" s="15" t="n">
        <f aca="false">'Counts (4-state)'!D48/'Counts (4-state)'!$F$48</f>
        <v>0.486910994764398</v>
      </c>
      <c r="E46" s="16" t="n">
        <f aca="false">'Counts (4-state)'!E48/'Counts (4-state)'!$F$48</f>
        <v>0.0261780104712042</v>
      </c>
      <c r="F46" s="17" t="n">
        <f aca="false">SUM(B46:E46)</f>
        <v>1</v>
      </c>
    </row>
    <row r="47" customFormat="false" ht="15" hidden="false" customHeight="false" outlineLevel="0" collapsed="false">
      <c r="A47" s="5" t="n">
        <v>44</v>
      </c>
      <c r="B47" s="13" t="n">
        <f aca="false">'Counts (4-state)'!B49/'Counts (4-state)'!$F$49</f>
        <v>0.405797101449275</v>
      </c>
      <c r="C47" s="14" t="n">
        <f aca="false">'Counts (4-state)'!C49/'Counts (4-state)'!$F$49</f>
        <v>0.0772946859903382</v>
      </c>
      <c r="D47" s="15" t="n">
        <f aca="false">'Counts (4-state)'!D49/'Counts (4-state)'!$F$49</f>
        <v>0.483091787439614</v>
      </c>
      <c r="E47" s="16" t="n">
        <f aca="false">'Counts (4-state)'!E49/'Counts (4-state)'!$F$49</f>
        <v>0.0338164251207729</v>
      </c>
      <c r="F47" s="17" t="n">
        <f aca="false">SUM(B47:E47)</f>
        <v>1</v>
      </c>
    </row>
    <row r="48" customFormat="false" ht="15" hidden="false" customHeight="false" outlineLevel="0" collapsed="false">
      <c r="A48" s="5" t="n">
        <v>45</v>
      </c>
      <c r="B48" s="13" t="n">
        <f aca="false">'Counts (4-state)'!B50/'Counts (4-state)'!$F$50</f>
        <v>0.366666666666667</v>
      </c>
      <c r="C48" s="14" t="n">
        <f aca="false">'Counts (4-state)'!C50/'Counts (4-state)'!$F$50</f>
        <v>0.0444444444444444</v>
      </c>
      <c r="D48" s="15" t="n">
        <f aca="false">'Counts (4-state)'!D50/'Counts (4-state)'!$F$50</f>
        <v>0.561111111111111</v>
      </c>
      <c r="E48" s="16" t="n">
        <f aca="false">'Counts (4-state)'!E50/'Counts (4-state)'!$F$50</f>
        <v>0.0277777777777778</v>
      </c>
      <c r="F48" s="17" t="n">
        <f aca="false">SUM(B48:E48)</f>
        <v>1</v>
      </c>
    </row>
    <row r="49" customFormat="false" ht="15" hidden="false" customHeight="false" outlineLevel="0" collapsed="false">
      <c r="A49" s="5" t="n">
        <v>46</v>
      </c>
      <c r="B49" s="13" t="n">
        <f aca="false">'Counts (4-state)'!B51/'Counts (4-state)'!$F$51</f>
        <v>0.43558282208589</v>
      </c>
      <c r="C49" s="14" t="n">
        <f aca="false">'Counts (4-state)'!C51/'Counts (4-state)'!$F$51</f>
        <v>0.0429447852760736</v>
      </c>
      <c r="D49" s="15" t="n">
        <f aca="false">'Counts (4-state)'!D51/'Counts (4-state)'!$F$51</f>
        <v>0.47239263803681</v>
      </c>
      <c r="E49" s="16" t="n">
        <f aca="false">'Counts (4-state)'!E51/'Counts (4-state)'!$F$51</f>
        <v>0.049079754601227</v>
      </c>
      <c r="F49" s="17" t="n">
        <f aca="false">SUM(B49:E49)</f>
        <v>1</v>
      </c>
    </row>
    <row r="50" customFormat="false" ht="15" hidden="false" customHeight="false" outlineLevel="0" collapsed="false">
      <c r="A50" s="5" t="n">
        <v>47</v>
      </c>
      <c r="B50" s="13" t="n">
        <f aca="false">'Counts (4-state)'!B52/'Counts (4-state)'!$F$52</f>
        <v>0.434782608695652</v>
      </c>
      <c r="C50" s="14" t="n">
        <f aca="false">'Counts (4-state)'!C52/'Counts (4-state)'!$F$52</f>
        <v>0.0241545893719807</v>
      </c>
      <c r="D50" s="15" t="n">
        <f aca="false">'Counts (4-state)'!D52/'Counts (4-state)'!$F$52</f>
        <v>0.492753623188406</v>
      </c>
      <c r="E50" s="16" t="n">
        <f aca="false">'Counts (4-state)'!E52/'Counts (4-state)'!$F$52</f>
        <v>0.0483091787439614</v>
      </c>
      <c r="F50" s="17" t="n">
        <f aca="false">SUM(B50:E50)</f>
        <v>1</v>
      </c>
    </row>
    <row r="51" customFormat="false" ht="15" hidden="false" customHeight="false" outlineLevel="0" collapsed="false">
      <c r="A51" s="5" t="n">
        <v>48</v>
      </c>
      <c r="B51" s="13" t="n">
        <f aca="false">'Counts (4-state)'!B53/'Counts (4-state)'!$F$53</f>
        <v>0.433333333333333</v>
      </c>
      <c r="C51" s="14" t="n">
        <f aca="false">'Counts (4-state)'!C53/'Counts (4-state)'!$F$53</f>
        <v>0</v>
      </c>
      <c r="D51" s="15" t="n">
        <f aca="false">'Counts (4-state)'!D53/'Counts (4-state)'!$F$53</f>
        <v>0.561111111111111</v>
      </c>
      <c r="E51" s="16" t="n">
        <f aca="false">'Counts (4-state)'!E53/'Counts (4-state)'!$F$53</f>
        <v>0.00555555555555556</v>
      </c>
      <c r="F51" s="17" t="n">
        <f aca="false">SUM(B51:E51)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8" t="s">
        <v>11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20" t="s">
        <v>12</v>
      </c>
    </row>
    <row r="4" customFormat="false" ht="15" hidden="false" customHeight="false" outlineLevel="0" collapsed="false">
      <c r="A4" s="19" t="s">
        <v>13</v>
      </c>
    </row>
    <row r="5" customFormat="false" ht="15" hidden="false" customHeight="false" outlineLevel="0" collapsed="false">
      <c r="A5" s="19" t="s">
        <v>14</v>
      </c>
    </row>
    <row r="6" customFormat="false" ht="15" hidden="false" customHeight="false" outlineLevel="0" collapsed="false">
      <c r="A6" s="19" t="s">
        <v>15</v>
      </c>
    </row>
    <row r="7" customFormat="false" ht="15" hidden="false" customHeight="false" outlineLevel="0" collapsed="false">
      <c r="A7" s="19" t="s">
        <v>16</v>
      </c>
    </row>
    <row r="8" customFormat="false" ht="15" hidden="false" customHeight="false" outlineLevel="0" collapsed="false">
      <c r="A8" s="19" t="s">
        <v>17</v>
      </c>
    </row>
    <row r="9" customFormat="false" ht="15" hidden="false" customHeight="false" outlineLevel="0" collapsed="false">
      <c r="A9" s="19" t="s">
        <v>18</v>
      </c>
    </row>
    <row r="10" customFormat="false" ht="15" hidden="false" customHeight="false" outlineLevel="0" collapsed="false">
      <c r="A10" s="19"/>
    </row>
    <row r="11" customFormat="false" ht="15" hidden="false" customHeight="false" outlineLevel="0" collapsed="false">
      <c r="A11" s="20" t="s">
        <v>19</v>
      </c>
    </row>
    <row r="12" customFormat="false" ht="15" hidden="false" customHeight="false" outlineLevel="0" collapsed="false">
      <c r="A12" s="19" t="s">
        <v>20</v>
      </c>
    </row>
    <row r="13" customFormat="false" ht="15" hidden="false" customHeight="false" outlineLevel="0" collapsed="false">
      <c r="A13" s="19" t="s">
        <v>21</v>
      </c>
    </row>
    <row r="14" customFormat="false" ht="15" hidden="false" customHeight="false" outlineLevel="0" collapsed="false">
      <c r="A14" s="19" t="s">
        <v>22</v>
      </c>
    </row>
    <row r="15" customFormat="false" ht="15" hidden="false" customHeight="false" outlineLevel="0" collapsed="false">
      <c r="A15" s="19"/>
    </row>
    <row r="16" customFormat="false" ht="15" hidden="false" customHeight="false" outlineLevel="0" collapsed="false">
      <c r="A16" s="20" t="s">
        <v>23</v>
      </c>
    </row>
    <row r="17" customFormat="false" ht="15" hidden="false" customHeight="false" outlineLevel="0" collapsed="false">
      <c r="A17" s="19" t="s">
        <v>24</v>
      </c>
    </row>
    <row r="18" customFormat="false" ht="15" hidden="false" customHeight="false" outlineLevel="0" collapsed="false">
      <c r="A18" s="19" t="s">
        <v>25</v>
      </c>
    </row>
    <row r="19" customFormat="false" ht="15" hidden="false" customHeight="false" outlineLevel="0" collapsed="false">
      <c r="A19" s="19" t="s">
        <v>26</v>
      </c>
    </row>
    <row r="20" customFormat="false" ht="15" hidden="false" customHeight="false" outlineLevel="0" collapsed="false">
      <c r="A20" s="19"/>
    </row>
    <row r="21" customFormat="false" ht="15" hidden="false" customHeight="false" outlineLevel="0" collapsed="false">
      <c r="A21" s="20" t="s">
        <v>27</v>
      </c>
    </row>
    <row r="22" customFormat="false" ht="15" hidden="false" customHeight="false" outlineLevel="0" collapsed="false">
      <c r="A22" s="19" t="s">
        <v>28</v>
      </c>
    </row>
    <row r="23" customFormat="false" ht="15" hidden="false" customHeight="false" outlineLevel="0" collapsed="false">
      <c r="A23" s="19" t="s">
        <v>29</v>
      </c>
    </row>
    <row r="24" customFormat="false" ht="15" hidden="false" customHeight="false" outlineLevel="0" collapsed="false">
      <c r="A24" s="19" t="s">
        <v>30</v>
      </c>
    </row>
    <row r="25" customFormat="false" ht="15" hidden="false" customHeight="false" outlineLevel="0" collapsed="false">
      <c r="A25" s="19" t="s">
        <v>31</v>
      </c>
    </row>
    <row r="26" customFormat="false" ht="15" hidden="false" customHeight="false" outlineLevel="0" collapsed="false">
      <c r="A26" s="19" t="s">
        <v>32</v>
      </c>
    </row>
    <row r="27" customFormat="false" ht="15" hidden="false" customHeight="false" outlineLevel="0" collapsed="false">
      <c r="A27" s="1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2026-06-29T04:07:23Z</dcterms:created>
  <dc:creator>openpyxl</dc:creator>
  <dc:description/>
  <dc:language>en-US</dc:language>
  <cp:lastModifiedBy/>
  <dcterms:modified xsi:type="dcterms:W3CDTF">2026-06-29T04:07:23Z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