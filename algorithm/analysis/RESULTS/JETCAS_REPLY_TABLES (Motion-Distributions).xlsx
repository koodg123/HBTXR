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AB1014C9-0DC7-490E-A66C-64D2E8DCCF2C}" xr6:coauthVersionLast="47" xr6:coauthVersionMax="47" xr10:uidLastSave="{00000000-0000-0000-0000-000000000000}"/>
  <bookViews>
    <workbookView xWindow="-103" yWindow="-103" windowWidth="24892" windowHeight="14914" activeTab="1" xr2:uid="{EBC93B65-0C6B-4B06-94FC-426BE16C9BF5}"/>
  </bookViews>
  <sheets>
    <sheet name="4-State-Motion (F)" sheetId="17" r:id="rId1"/>
    <sheet name="4-State-Motion (E)" sheetId="2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4" i="17" l="1"/>
  <c r="K54" i="17"/>
  <c r="J54" i="17"/>
  <c r="X54" i="17"/>
  <c r="W54" i="17"/>
  <c r="V54" i="17"/>
  <c r="T54" i="22"/>
  <c r="S54" i="22"/>
  <c r="W54" i="22" s="1"/>
  <c r="R54" i="22"/>
  <c r="V54" i="22" s="1"/>
  <c r="Q54" i="22"/>
  <c r="U54" i="22" s="1"/>
  <c r="P54" i="22"/>
  <c r="H54" i="22"/>
  <c r="G54" i="22"/>
  <c r="F54" i="22"/>
  <c r="E54" i="22"/>
  <c r="D54" i="22"/>
  <c r="T54" i="17"/>
  <c r="S54" i="17"/>
  <c r="R54" i="17"/>
  <c r="Q54" i="17"/>
  <c r="P54" i="17"/>
  <c r="H54" i="17"/>
  <c r="G54" i="17"/>
  <c r="F54" i="17"/>
  <c r="E54" i="17"/>
  <c r="D54" i="17"/>
  <c r="K54" i="22" l="1"/>
  <c r="I54" i="17"/>
  <c r="I54" i="22"/>
  <c r="L54" i="22"/>
  <c r="J54" i="22"/>
  <c r="X54" i="22"/>
  <c r="U54" i="17"/>
</calcChain>
</file>

<file path=xl/sharedStrings.xml><?xml version="1.0" encoding="utf-8"?>
<sst xmlns="http://schemas.openxmlformats.org/spreadsheetml/2006/main" count="272" uniqueCount="28">
  <si>
    <t>Total</t>
    <phoneticPr fontId="1" type="noConversion"/>
  </si>
  <si>
    <t>Ratio</t>
    <phoneticPr fontId="1" type="noConversion"/>
  </si>
  <si>
    <t>-</t>
    <phoneticPr fontId="1" type="noConversion"/>
  </si>
  <si>
    <t>Subject</t>
    <phoneticPr fontId="1" type="noConversion"/>
  </si>
  <si>
    <t>Motion</t>
    <phoneticPr fontId="1" type="noConversion"/>
  </si>
  <si>
    <t>Saccade</t>
    <phoneticPr fontId="1" type="noConversion"/>
  </si>
  <si>
    <t>Fixation</t>
    <phoneticPr fontId="1" type="noConversion"/>
  </si>
  <si>
    <t>Smooth</t>
    <phoneticPr fontId="1" type="noConversion"/>
  </si>
  <si>
    <t>#Data</t>
    <phoneticPr fontId="1" type="noConversion"/>
  </si>
  <si>
    <t>Blink</t>
    <phoneticPr fontId="1" type="noConversion"/>
  </si>
  <si>
    <t>Split</t>
    <phoneticPr fontId="1" type="noConversion"/>
  </si>
  <si>
    <t>Train</t>
    <phoneticPr fontId="1" type="noConversion"/>
  </si>
  <si>
    <t>Val</t>
    <phoneticPr fontId="1" type="noConversion"/>
  </si>
  <si>
    <t>Test</t>
  </si>
  <si>
    <t>Test</t>
    <phoneticPr fontId="1" type="noConversion"/>
  </si>
  <si>
    <t>Blink : Grounded-SAM2에서 동공 검출을 못한 Frame</t>
    <phoneticPr fontId="1" type="noConversion"/>
  </si>
  <si>
    <t>Saccade : event-track 속도&gt;493px/s (전=40ms 격자, 후=5ms 격자)</t>
    <phoneticPr fontId="1" type="noConversion"/>
  </si>
  <si>
    <t>Fixation : Session101, Session101 / Saccade 는 이후 분리</t>
    <phoneticPr fontId="1" type="noConversion"/>
  </si>
  <si>
    <t>Smooth : Session102, Session202 / Saccade는 이후 분리</t>
    <phoneticPr fontId="1" type="noConversion"/>
  </si>
  <si>
    <t>Fixation : 2배 보간</t>
    <phoneticPr fontId="1" type="noConversion"/>
  </si>
  <si>
    <t>Smooth : 2배 보간</t>
    <phoneticPr fontId="1" type="noConversion"/>
  </si>
  <si>
    <t>Saccade : 8배 보간</t>
    <phoneticPr fontId="1" type="noConversion"/>
  </si>
  <si>
    <t>Blink : 보간X (강한 단일 신호)</t>
    <phoneticPr fontId="1" type="noConversion"/>
  </si>
  <si>
    <t>Frame-Motion Distribution (Before)</t>
    <phoneticPr fontId="1" type="noConversion"/>
  </si>
  <si>
    <t>Event-Motion Distribution (Before)</t>
    <phoneticPr fontId="1" type="noConversion"/>
  </si>
  <si>
    <t>Frame-Motion Distribution (After)</t>
    <phoneticPr fontId="1" type="noConversion"/>
  </si>
  <si>
    <t>Event-Motion Distribution (After)</t>
    <phoneticPr fontId="1" type="noConversion"/>
  </si>
  <si>
    <r>
      <t>Saccade : speed(t) = √(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 xml:space="preserve">x² + 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 xml:space="preserve">y²) / 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>t (창크기, 3ms, threshold : 493px/s)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</si>
</sst>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BE2F-A923-49D4-B7B0-DDBDF373B968}">
  <dimension ref="B2:X61"/>
  <sheetViews>
    <sheetView zoomScale="70" zoomScaleNormal="70" workbookViewId="0">
      <selection activeCell="R57" sqref="R57"/>
    </sheetView>
  </sheetViews>
  <sheetFormatPr defaultRowHeight="17.600000000000001" x14ac:dyDescent="0.55000000000000004"/>
  <cols>
    <col min="1" max="1" width="9.140625" style="1"/>
    <col min="2" max="2" width="7.5" style="1" bestFit="1" customWidth="1"/>
    <col min="3" max="3" width="5.35546875" style="1" bestFit="1" customWidth="1"/>
    <col min="4" max="4" width="8.5703125" style="1" bestFit="1" customWidth="1"/>
    <col min="5" max="5" width="7.640625" style="1" bestFit="1" customWidth="1"/>
    <col min="6" max="6" width="8.2109375" style="1" bestFit="1" customWidth="1"/>
    <col min="7" max="7" width="7.92578125" style="1" bestFit="1" customWidth="1"/>
    <col min="8" max="8" width="6.5" style="1" bestFit="1" customWidth="1"/>
    <col min="9" max="10" width="12.85546875" style="3" bestFit="1" customWidth="1"/>
    <col min="11" max="12" width="11.7109375" style="3" bestFit="1" customWidth="1"/>
    <col min="13" max="13" width="9.140625" style="3" customWidth="1"/>
    <col min="14" max="14" width="7.5" style="1" bestFit="1" customWidth="1"/>
    <col min="15" max="15" width="5.35546875" style="1" bestFit="1" customWidth="1"/>
    <col min="16" max="16" width="9.5703125" style="1" bestFit="1" customWidth="1"/>
    <col min="17" max="17" width="8.5703125" style="1" bestFit="1" customWidth="1"/>
    <col min="18" max="18" width="8.2109375" style="1" bestFit="1" customWidth="1"/>
    <col min="19" max="19" width="7.92578125" style="1" bestFit="1" customWidth="1"/>
    <col min="20" max="20" width="7.5" style="1" bestFit="1" customWidth="1"/>
    <col min="21" max="21" width="7.640625" style="3" bestFit="1" customWidth="1"/>
    <col min="22" max="22" width="8.2109375" style="3" bestFit="1" customWidth="1"/>
    <col min="23" max="23" width="7.92578125" style="3" bestFit="1" customWidth="1"/>
    <col min="24" max="24" width="9.140625" style="3"/>
    <col min="25" max="30" width="9.140625" style="1"/>
    <col min="31" max="32" width="9.140625" style="1" customWidth="1"/>
    <col min="33" max="16384" width="9.140625" style="1"/>
  </cols>
  <sheetData>
    <row r="2" spans="2:24" x14ac:dyDescent="0.55000000000000004">
      <c r="B2" s="9" t="s">
        <v>23</v>
      </c>
      <c r="C2" s="9"/>
      <c r="D2" s="9"/>
      <c r="E2" s="9"/>
      <c r="F2" s="9"/>
      <c r="G2" s="9"/>
      <c r="H2" s="9"/>
      <c r="I2" s="9"/>
      <c r="J2" s="9"/>
      <c r="K2" s="9"/>
      <c r="L2" s="9"/>
      <c r="N2" s="9" t="s">
        <v>25</v>
      </c>
      <c r="O2" s="9"/>
      <c r="P2" s="9"/>
      <c r="Q2" s="9"/>
      <c r="R2" s="9"/>
      <c r="S2" s="9"/>
      <c r="T2" s="9"/>
      <c r="U2" s="9"/>
      <c r="V2" s="9"/>
      <c r="W2" s="9"/>
      <c r="X2" s="9"/>
    </row>
    <row r="4" spans="2:24" x14ac:dyDescent="0.55000000000000004">
      <c r="B4" s="8" t="s">
        <v>3</v>
      </c>
      <c r="C4" s="8" t="s">
        <v>10</v>
      </c>
      <c r="D4" s="8" t="s">
        <v>8</v>
      </c>
      <c r="E4" s="8" t="s">
        <v>4</v>
      </c>
      <c r="F4" s="8"/>
      <c r="G4" s="8"/>
      <c r="H4" s="8"/>
      <c r="I4" s="8" t="s">
        <v>1</v>
      </c>
      <c r="J4" s="8"/>
      <c r="K4" s="8"/>
      <c r="L4" s="8"/>
      <c r="N4" s="8" t="s">
        <v>3</v>
      </c>
      <c r="O4" s="8" t="s">
        <v>10</v>
      </c>
      <c r="P4" s="8" t="s">
        <v>8</v>
      </c>
      <c r="Q4" s="8" t="s">
        <v>4</v>
      </c>
      <c r="R4" s="8"/>
      <c r="S4" s="8"/>
      <c r="T4" s="8"/>
      <c r="U4" s="8" t="s">
        <v>1</v>
      </c>
      <c r="V4" s="8"/>
      <c r="W4" s="8"/>
      <c r="X4" s="8"/>
    </row>
    <row r="5" spans="2:24" x14ac:dyDescent="0.55000000000000004">
      <c r="B5" s="8"/>
      <c r="C5" s="8"/>
      <c r="D5" s="8"/>
      <c r="E5" s="2" t="s">
        <v>6</v>
      </c>
      <c r="F5" s="2" t="s">
        <v>5</v>
      </c>
      <c r="G5" s="2" t="s">
        <v>7</v>
      </c>
      <c r="H5" s="2" t="s">
        <v>9</v>
      </c>
      <c r="I5" s="2" t="s">
        <v>6</v>
      </c>
      <c r="J5" s="2" t="s">
        <v>5</v>
      </c>
      <c r="K5" s="2" t="s">
        <v>7</v>
      </c>
      <c r="L5" s="2" t="s">
        <v>9</v>
      </c>
      <c r="N5" s="8"/>
      <c r="O5" s="8"/>
      <c r="P5" s="8"/>
      <c r="Q5" s="2" t="s">
        <v>6</v>
      </c>
      <c r="R5" s="2" t="s">
        <v>5</v>
      </c>
      <c r="S5" s="2" t="s">
        <v>7</v>
      </c>
      <c r="T5" s="2" t="s">
        <v>9</v>
      </c>
      <c r="U5" s="2" t="s">
        <v>6</v>
      </c>
      <c r="V5" s="2" t="s">
        <v>5</v>
      </c>
      <c r="W5" s="2" t="s">
        <v>7</v>
      </c>
      <c r="X5" s="2" t="s">
        <v>9</v>
      </c>
    </row>
    <row r="6" spans="2:24" x14ac:dyDescent="0.55000000000000004">
      <c r="B6" s="2">
        <v>1</v>
      </c>
      <c r="C6" s="2" t="s">
        <v>11</v>
      </c>
      <c r="D6" s="2">
        <v>30980</v>
      </c>
      <c r="E6" s="2">
        <v>19578</v>
      </c>
      <c r="F6" s="2">
        <v>307</v>
      </c>
      <c r="G6" s="2">
        <v>10602</v>
      </c>
      <c r="H6" s="2">
        <v>493</v>
      </c>
      <c r="I6" s="2">
        <v>63.2</v>
      </c>
      <c r="J6" s="2">
        <v>0.99</v>
      </c>
      <c r="K6" s="2">
        <v>34.22</v>
      </c>
      <c r="L6" s="2">
        <v>1.59</v>
      </c>
      <c r="N6" s="2">
        <v>1</v>
      </c>
      <c r="O6" s="2" t="s">
        <v>11</v>
      </c>
      <c r="P6" s="4">
        <v>63309</v>
      </c>
      <c r="Q6" s="2">
        <v>39156</v>
      </c>
      <c r="R6" s="2">
        <v>2456</v>
      </c>
      <c r="S6" s="2">
        <v>21204</v>
      </c>
      <c r="T6" s="2">
        <v>493</v>
      </c>
      <c r="U6" s="2">
        <v>61.85</v>
      </c>
      <c r="V6" s="2">
        <v>3.88</v>
      </c>
      <c r="W6" s="2">
        <v>33.49</v>
      </c>
      <c r="X6" s="2">
        <v>0.78</v>
      </c>
    </row>
    <row r="7" spans="2:24" x14ac:dyDescent="0.55000000000000004">
      <c r="B7" s="2">
        <v>2</v>
      </c>
      <c r="C7" s="2" t="s">
        <v>11</v>
      </c>
      <c r="D7" s="2">
        <v>31345</v>
      </c>
      <c r="E7" s="2">
        <v>19428</v>
      </c>
      <c r="F7" s="2">
        <v>246</v>
      </c>
      <c r="G7" s="2">
        <v>11148</v>
      </c>
      <c r="H7" s="2">
        <v>523</v>
      </c>
      <c r="I7" s="2">
        <v>61.98</v>
      </c>
      <c r="J7" s="2">
        <v>0.78</v>
      </c>
      <c r="K7" s="2">
        <v>35.57</v>
      </c>
      <c r="L7" s="2">
        <v>1.67</v>
      </c>
      <c r="N7" s="2">
        <v>2</v>
      </c>
      <c r="O7" s="2" t="s">
        <v>11</v>
      </c>
      <c r="P7" s="4">
        <v>63643</v>
      </c>
      <c r="Q7" s="2">
        <v>38856</v>
      </c>
      <c r="R7" s="2">
        <v>1968</v>
      </c>
      <c r="S7" s="2">
        <v>22296</v>
      </c>
      <c r="T7" s="2">
        <v>523</v>
      </c>
      <c r="U7" s="2">
        <v>61.05</v>
      </c>
      <c r="V7" s="2">
        <v>3.09</v>
      </c>
      <c r="W7" s="2">
        <v>35.03</v>
      </c>
      <c r="X7" s="2">
        <v>0.82</v>
      </c>
    </row>
    <row r="8" spans="2:24" x14ac:dyDescent="0.55000000000000004">
      <c r="B8" s="2">
        <v>3</v>
      </c>
      <c r="C8" s="2" t="s">
        <v>11</v>
      </c>
      <c r="D8" s="2">
        <v>31432</v>
      </c>
      <c r="E8" s="2">
        <v>18831</v>
      </c>
      <c r="F8" s="2">
        <v>453</v>
      </c>
      <c r="G8" s="2">
        <v>10565</v>
      </c>
      <c r="H8" s="2">
        <v>1583</v>
      </c>
      <c r="I8" s="2">
        <v>59.91</v>
      </c>
      <c r="J8" s="2">
        <v>1.44</v>
      </c>
      <c r="K8" s="2">
        <v>33.61</v>
      </c>
      <c r="L8" s="2">
        <v>5.04</v>
      </c>
      <c r="N8" s="2">
        <v>3</v>
      </c>
      <c r="O8" s="2" t="s">
        <v>11</v>
      </c>
      <c r="P8" s="4">
        <v>63999</v>
      </c>
      <c r="Q8" s="2">
        <v>37662</v>
      </c>
      <c r="R8" s="2">
        <v>3624</v>
      </c>
      <c r="S8" s="2">
        <v>21130</v>
      </c>
      <c r="T8" s="2">
        <v>1583</v>
      </c>
      <c r="U8" s="2">
        <v>58.85</v>
      </c>
      <c r="V8" s="2">
        <v>5.66</v>
      </c>
      <c r="W8" s="2">
        <v>33.020000000000003</v>
      </c>
      <c r="X8" s="2">
        <v>2.4700000000000002</v>
      </c>
    </row>
    <row r="9" spans="2:24" x14ac:dyDescent="0.55000000000000004">
      <c r="B9" s="2">
        <v>4</v>
      </c>
      <c r="C9" s="2" t="s">
        <v>11</v>
      </c>
      <c r="D9" s="2">
        <v>30539</v>
      </c>
      <c r="E9" s="2">
        <v>19245</v>
      </c>
      <c r="F9" s="2">
        <v>407</v>
      </c>
      <c r="G9" s="2">
        <v>10441</v>
      </c>
      <c r="H9" s="2">
        <v>446</v>
      </c>
      <c r="I9" s="2">
        <v>63.02</v>
      </c>
      <c r="J9" s="2">
        <v>1.33</v>
      </c>
      <c r="K9" s="2">
        <v>34.19</v>
      </c>
      <c r="L9" s="2">
        <v>1.46</v>
      </c>
      <c r="N9" s="2">
        <v>4</v>
      </c>
      <c r="O9" s="2" t="s">
        <v>11</v>
      </c>
      <c r="P9" s="4">
        <v>63074</v>
      </c>
      <c r="Q9" s="2">
        <v>38490</v>
      </c>
      <c r="R9" s="2">
        <v>3256</v>
      </c>
      <c r="S9" s="2">
        <v>20882</v>
      </c>
      <c r="T9" s="2">
        <v>446</v>
      </c>
      <c r="U9" s="2">
        <v>61.02</v>
      </c>
      <c r="V9" s="2">
        <v>5.16</v>
      </c>
      <c r="W9" s="2">
        <v>33.11</v>
      </c>
      <c r="X9" s="2">
        <v>0.71</v>
      </c>
    </row>
    <row r="10" spans="2:24" x14ac:dyDescent="0.55000000000000004">
      <c r="B10" s="2">
        <v>5</v>
      </c>
      <c r="C10" s="2" t="s">
        <v>11</v>
      </c>
      <c r="D10" s="2">
        <v>30729</v>
      </c>
      <c r="E10" s="2">
        <v>19483</v>
      </c>
      <c r="F10" s="2">
        <v>236</v>
      </c>
      <c r="G10" s="2">
        <v>10509</v>
      </c>
      <c r="H10" s="2">
        <v>501</v>
      </c>
      <c r="I10" s="2">
        <v>63.4</v>
      </c>
      <c r="J10" s="2">
        <v>0.77</v>
      </c>
      <c r="K10" s="2">
        <v>34.200000000000003</v>
      </c>
      <c r="L10" s="2">
        <v>1.63</v>
      </c>
      <c r="N10" s="2">
        <v>5</v>
      </c>
      <c r="O10" s="2" t="s">
        <v>11</v>
      </c>
      <c r="P10" s="2">
        <v>62373</v>
      </c>
      <c r="Q10" s="2">
        <v>38966</v>
      </c>
      <c r="R10" s="2">
        <v>1888</v>
      </c>
      <c r="S10" s="2">
        <v>21018</v>
      </c>
      <c r="T10" s="2">
        <v>501</v>
      </c>
      <c r="U10" s="2">
        <v>62.47</v>
      </c>
      <c r="V10" s="2">
        <v>3.03</v>
      </c>
      <c r="W10" s="2">
        <v>33.700000000000003</v>
      </c>
      <c r="X10" s="2">
        <v>0.8</v>
      </c>
    </row>
    <row r="11" spans="2:24" x14ac:dyDescent="0.55000000000000004">
      <c r="B11" s="2">
        <v>6</v>
      </c>
      <c r="C11" s="2" t="s">
        <v>11</v>
      </c>
      <c r="D11" s="2">
        <v>31118</v>
      </c>
      <c r="E11" s="2">
        <v>19742</v>
      </c>
      <c r="F11" s="2">
        <v>482</v>
      </c>
      <c r="G11" s="2">
        <v>10445</v>
      </c>
      <c r="H11" s="2">
        <v>449</v>
      </c>
      <c r="I11" s="2">
        <v>63.44</v>
      </c>
      <c r="J11" s="2">
        <v>1.55</v>
      </c>
      <c r="K11" s="2">
        <v>33.57</v>
      </c>
      <c r="L11" s="2">
        <v>1.44</v>
      </c>
      <c r="N11" s="2">
        <v>6</v>
      </c>
      <c r="O11" s="2" t="s">
        <v>11</v>
      </c>
      <c r="P11" s="2">
        <v>64679</v>
      </c>
      <c r="Q11" s="2">
        <v>39484</v>
      </c>
      <c r="R11" s="2">
        <v>3856</v>
      </c>
      <c r="S11" s="2">
        <v>20890</v>
      </c>
      <c r="T11" s="2">
        <v>449</v>
      </c>
      <c r="U11" s="2">
        <v>61.05</v>
      </c>
      <c r="V11" s="2">
        <v>5.96</v>
      </c>
      <c r="W11" s="2">
        <v>32.299999999999997</v>
      </c>
      <c r="X11" s="2">
        <v>0.69</v>
      </c>
    </row>
    <row r="12" spans="2:24" x14ac:dyDescent="0.55000000000000004">
      <c r="B12" s="2">
        <v>7</v>
      </c>
      <c r="C12" s="2" t="s">
        <v>11</v>
      </c>
      <c r="D12" s="2">
        <v>30694</v>
      </c>
      <c r="E12" s="2">
        <v>19673</v>
      </c>
      <c r="F12" s="2">
        <v>266</v>
      </c>
      <c r="G12" s="2">
        <v>10553</v>
      </c>
      <c r="H12" s="2">
        <v>202</v>
      </c>
      <c r="I12" s="2">
        <v>64.09</v>
      </c>
      <c r="J12" s="2">
        <v>0.87</v>
      </c>
      <c r="K12" s="2">
        <v>34.380000000000003</v>
      </c>
      <c r="L12" s="2">
        <v>0.66</v>
      </c>
      <c r="N12" s="2">
        <v>7</v>
      </c>
      <c r="O12" s="2" t="s">
        <v>11</v>
      </c>
      <c r="P12" s="2">
        <v>62782</v>
      </c>
      <c r="Q12" s="2">
        <v>39346</v>
      </c>
      <c r="R12" s="2">
        <v>2128</v>
      </c>
      <c r="S12" s="2">
        <v>21106</v>
      </c>
      <c r="T12" s="2">
        <v>202</v>
      </c>
      <c r="U12" s="2">
        <v>62.67</v>
      </c>
      <c r="V12" s="2">
        <v>3.39</v>
      </c>
      <c r="W12" s="2">
        <v>33.619999999999997</v>
      </c>
      <c r="X12" s="2">
        <v>0.32</v>
      </c>
    </row>
    <row r="13" spans="2:24" x14ac:dyDescent="0.55000000000000004">
      <c r="B13" s="2">
        <v>8</v>
      </c>
      <c r="C13" s="2" t="s">
        <v>11</v>
      </c>
      <c r="D13" s="2">
        <v>31204</v>
      </c>
      <c r="E13" s="2">
        <v>19387</v>
      </c>
      <c r="F13" s="2">
        <v>233</v>
      </c>
      <c r="G13" s="2">
        <v>10106</v>
      </c>
      <c r="H13" s="2">
        <v>1478</v>
      </c>
      <c r="I13" s="2">
        <v>62.13</v>
      </c>
      <c r="J13" s="2">
        <v>0.75</v>
      </c>
      <c r="K13" s="2">
        <v>32.39</v>
      </c>
      <c r="L13" s="2">
        <v>4.74</v>
      </c>
      <c r="N13" s="2">
        <v>8</v>
      </c>
      <c r="O13" s="2" t="s">
        <v>11</v>
      </c>
      <c r="P13" s="2">
        <v>62328</v>
      </c>
      <c r="Q13" s="2">
        <v>38774</v>
      </c>
      <c r="R13" s="2">
        <v>1864</v>
      </c>
      <c r="S13" s="2">
        <v>20212</v>
      </c>
      <c r="T13" s="2">
        <v>1478</v>
      </c>
      <c r="U13" s="2">
        <v>62.21</v>
      </c>
      <c r="V13" s="2">
        <v>2.99</v>
      </c>
      <c r="W13" s="2">
        <v>32.43</v>
      </c>
      <c r="X13" s="2">
        <v>2.37</v>
      </c>
    </row>
    <row r="14" spans="2:24" x14ac:dyDescent="0.55000000000000004">
      <c r="B14" s="2">
        <v>9</v>
      </c>
      <c r="C14" s="2" t="s">
        <v>11</v>
      </c>
      <c r="D14" s="2">
        <v>31152</v>
      </c>
      <c r="E14" s="2">
        <v>19414</v>
      </c>
      <c r="F14" s="2">
        <v>419</v>
      </c>
      <c r="G14" s="2">
        <v>11110</v>
      </c>
      <c r="H14" s="2">
        <v>209</v>
      </c>
      <c r="I14" s="2">
        <v>62.32</v>
      </c>
      <c r="J14" s="2">
        <v>1.35</v>
      </c>
      <c r="K14" s="2">
        <v>35.659999999999997</v>
      </c>
      <c r="L14" s="2">
        <v>0.67</v>
      </c>
      <c r="N14" s="2">
        <v>9</v>
      </c>
      <c r="O14" s="2" t="s">
        <v>11</v>
      </c>
      <c r="P14" s="2">
        <v>64609</v>
      </c>
      <c r="Q14" s="2">
        <v>38828</v>
      </c>
      <c r="R14" s="2">
        <v>3352</v>
      </c>
      <c r="S14" s="2">
        <v>22220</v>
      </c>
      <c r="T14" s="2">
        <v>209</v>
      </c>
      <c r="U14" s="2">
        <v>60.1</v>
      </c>
      <c r="V14" s="2">
        <v>5.19</v>
      </c>
      <c r="W14" s="2">
        <v>34.39</v>
      </c>
      <c r="X14" s="2">
        <v>0.32</v>
      </c>
    </row>
    <row r="15" spans="2:24" x14ac:dyDescent="0.55000000000000004">
      <c r="B15" s="2">
        <v>10</v>
      </c>
      <c r="C15" s="2" t="s">
        <v>11</v>
      </c>
      <c r="D15" s="2">
        <v>31471</v>
      </c>
      <c r="E15" s="2">
        <v>19319</v>
      </c>
      <c r="F15" s="2">
        <v>347</v>
      </c>
      <c r="G15" s="2">
        <v>10970</v>
      </c>
      <c r="H15" s="2">
        <v>835</v>
      </c>
      <c r="I15" s="2">
        <v>61.39</v>
      </c>
      <c r="J15" s="2">
        <v>1.1000000000000001</v>
      </c>
      <c r="K15" s="2">
        <v>34.86</v>
      </c>
      <c r="L15" s="2">
        <v>2.65</v>
      </c>
      <c r="N15" s="2">
        <v>10</v>
      </c>
      <c r="O15" s="2" t="s">
        <v>11</v>
      </c>
      <c r="P15" s="2">
        <v>64189</v>
      </c>
      <c r="Q15" s="2">
        <v>38638</v>
      </c>
      <c r="R15" s="2">
        <v>2776</v>
      </c>
      <c r="S15" s="2">
        <v>21940</v>
      </c>
      <c r="T15" s="2">
        <v>835</v>
      </c>
      <c r="U15" s="2">
        <v>60.19</v>
      </c>
      <c r="V15" s="2">
        <v>4.32</v>
      </c>
      <c r="W15" s="2">
        <v>34.18</v>
      </c>
      <c r="X15" s="2">
        <v>1.3</v>
      </c>
    </row>
    <row r="16" spans="2:24" x14ac:dyDescent="0.55000000000000004">
      <c r="B16" s="2">
        <v>11</v>
      </c>
      <c r="C16" s="2" t="s">
        <v>11</v>
      </c>
      <c r="D16" s="2">
        <v>31513</v>
      </c>
      <c r="E16" s="2">
        <v>19152</v>
      </c>
      <c r="F16" s="2">
        <v>377</v>
      </c>
      <c r="G16" s="2">
        <v>11179</v>
      </c>
      <c r="H16" s="2">
        <v>805</v>
      </c>
      <c r="I16" s="2">
        <v>60.77</v>
      </c>
      <c r="J16" s="2">
        <v>1.2</v>
      </c>
      <c r="K16" s="2">
        <v>35.47</v>
      </c>
      <c r="L16" s="2">
        <v>2.5499999999999998</v>
      </c>
      <c r="N16" s="2">
        <v>11</v>
      </c>
      <c r="O16" s="2" t="s">
        <v>11</v>
      </c>
      <c r="P16" s="2">
        <v>64483</v>
      </c>
      <c r="Q16" s="2">
        <v>38304</v>
      </c>
      <c r="R16" s="2">
        <v>3016</v>
      </c>
      <c r="S16" s="2">
        <v>22358</v>
      </c>
      <c r="T16" s="2">
        <v>805</v>
      </c>
      <c r="U16" s="2">
        <v>59.4</v>
      </c>
      <c r="V16" s="2">
        <v>4.68</v>
      </c>
      <c r="W16" s="2">
        <v>34.67</v>
      </c>
      <c r="X16" s="2">
        <v>1.25</v>
      </c>
    </row>
    <row r="17" spans="2:24" x14ac:dyDescent="0.55000000000000004">
      <c r="B17" s="2">
        <v>12</v>
      </c>
      <c r="C17" s="2" t="s">
        <v>11</v>
      </c>
      <c r="D17" s="2">
        <v>30981</v>
      </c>
      <c r="E17" s="2">
        <v>19190</v>
      </c>
      <c r="F17" s="2">
        <v>413</v>
      </c>
      <c r="G17" s="2">
        <v>10987</v>
      </c>
      <c r="H17" s="2">
        <v>391</v>
      </c>
      <c r="I17" s="2">
        <v>61.94</v>
      </c>
      <c r="J17" s="2">
        <v>1.33</v>
      </c>
      <c r="K17" s="2">
        <v>35.46</v>
      </c>
      <c r="L17" s="2">
        <v>1.26</v>
      </c>
      <c r="N17" s="2">
        <v>12</v>
      </c>
      <c r="O17" s="2" t="s">
        <v>11</v>
      </c>
      <c r="P17" s="2">
        <v>64049</v>
      </c>
      <c r="Q17" s="2">
        <v>38380</v>
      </c>
      <c r="R17" s="2">
        <v>3304</v>
      </c>
      <c r="S17" s="2">
        <v>21974</v>
      </c>
      <c r="T17" s="2">
        <v>391</v>
      </c>
      <c r="U17" s="2">
        <v>59.92</v>
      </c>
      <c r="V17" s="2">
        <v>5.16</v>
      </c>
      <c r="W17" s="2">
        <v>34.31</v>
      </c>
      <c r="X17" s="2">
        <v>0.61</v>
      </c>
    </row>
    <row r="18" spans="2:24" x14ac:dyDescent="0.55000000000000004">
      <c r="B18" s="2">
        <v>13</v>
      </c>
      <c r="C18" s="2" t="s">
        <v>11</v>
      </c>
      <c r="D18" s="2">
        <v>31058</v>
      </c>
      <c r="E18" s="2">
        <v>19374</v>
      </c>
      <c r="F18" s="2">
        <v>384</v>
      </c>
      <c r="G18" s="2">
        <v>11052</v>
      </c>
      <c r="H18" s="2">
        <v>248</v>
      </c>
      <c r="I18" s="2">
        <v>62.38</v>
      </c>
      <c r="J18" s="2">
        <v>1.24</v>
      </c>
      <c r="K18" s="2">
        <v>35.590000000000003</v>
      </c>
      <c r="L18" s="2">
        <v>0.8</v>
      </c>
      <c r="N18" s="2">
        <v>13</v>
      </c>
      <c r="O18" s="2" t="s">
        <v>11</v>
      </c>
      <c r="P18" s="2">
        <v>64172</v>
      </c>
      <c r="Q18" s="2">
        <v>38748</v>
      </c>
      <c r="R18" s="2">
        <v>3072</v>
      </c>
      <c r="S18" s="2">
        <v>22104</v>
      </c>
      <c r="T18" s="2">
        <v>248</v>
      </c>
      <c r="U18" s="2">
        <v>60.38</v>
      </c>
      <c r="V18" s="2">
        <v>4.79</v>
      </c>
      <c r="W18" s="2">
        <v>34.44</v>
      </c>
      <c r="X18" s="2">
        <v>0.39</v>
      </c>
    </row>
    <row r="19" spans="2:24" x14ac:dyDescent="0.55000000000000004">
      <c r="B19" s="2">
        <v>14</v>
      </c>
      <c r="C19" s="2" t="s">
        <v>11</v>
      </c>
      <c r="D19" s="2">
        <v>31570</v>
      </c>
      <c r="E19" s="2">
        <v>19227</v>
      </c>
      <c r="F19" s="2">
        <v>306</v>
      </c>
      <c r="G19" s="2">
        <v>11131</v>
      </c>
      <c r="H19" s="2">
        <v>906</v>
      </c>
      <c r="I19" s="2">
        <v>60.9</v>
      </c>
      <c r="J19" s="2">
        <v>0.97</v>
      </c>
      <c r="K19" s="2">
        <v>35.26</v>
      </c>
      <c r="L19" s="2">
        <v>2.87</v>
      </c>
      <c r="N19" s="2">
        <v>14</v>
      </c>
      <c r="O19" s="2" t="s">
        <v>11</v>
      </c>
      <c r="P19" s="2">
        <v>64070</v>
      </c>
      <c r="Q19" s="2">
        <v>38454</v>
      </c>
      <c r="R19" s="2">
        <v>2448</v>
      </c>
      <c r="S19" s="2">
        <v>22262</v>
      </c>
      <c r="T19" s="2">
        <v>906</v>
      </c>
      <c r="U19" s="2">
        <v>60.02</v>
      </c>
      <c r="V19" s="2">
        <v>3.82</v>
      </c>
      <c r="W19" s="2">
        <v>34.75</v>
      </c>
      <c r="X19" s="2">
        <v>1.41</v>
      </c>
    </row>
    <row r="20" spans="2:24" x14ac:dyDescent="0.55000000000000004">
      <c r="B20" s="2">
        <v>15</v>
      </c>
      <c r="C20" s="2" t="s">
        <v>11</v>
      </c>
      <c r="D20" s="2">
        <v>31188</v>
      </c>
      <c r="E20" s="2">
        <v>19106</v>
      </c>
      <c r="F20" s="2">
        <v>515</v>
      </c>
      <c r="G20" s="2">
        <v>10881</v>
      </c>
      <c r="H20" s="2">
        <v>686</v>
      </c>
      <c r="I20" s="2">
        <v>61.26</v>
      </c>
      <c r="J20" s="2">
        <v>1.65</v>
      </c>
      <c r="K20" s="2">
        <v>34.89</v>
      </c>
      <c r="L20" s="2">
        <v>2.2000000000000002</v>
      </c>
      <c r="N20" s="2">
        <v>15</v>
      </c>
      <c r="O20" s="2" t="s">
        <v>11</v>
      </c>
      <c r="P20" s="2">
        <v>64780</v>
      </c>
      <c r="Q20" s="2">
        <v>38212</v>
      </c>
      <c r="R20" s="2">
        <v>4120</v>
      </c>
      <c r="S20" s="2">
        <v>21762</v>
      </c>
      <c r="T20" s="2">
        <v>686</v>
      </c>
      <c r="U20" s="2">
        <v>58.99</v>
      </c>
      <c r="V20" s="2">
        <v>6.36</v>
      </c>
      <c r="W20" s="2">
        <v>33.590000000000003</v>
      </c>
      <c r="X20" s="2">
        <v>1.06</v>
      </c>
    </row>
    <row r="21" spans="2:24" x14ac:dyDescent="0.55000000000000004">
      <c r="B21" s="2">
        <v>16</v>
      </c>
      <c r="C21" s="2" t="s">
        <v>11</v>
      </c>
      <c r="D21" s="2">
        <v>30432</v>
      </c>
      <c r="E21" s="2">
        <v>19233</v>
      </c>
      <c r="F21" s="2">
        <v>178</v>
      </c>
      <c r="G21" s="2">
        <v>10233</v>
      </c>
      <c r="H21" s="2">
        <v>788</v>
      </c>
      <c r="I21" s="2">
        <v>63.2</v>
      </c>
      <c r="J21" s="2">
        <v>0.57999999999999996</v>
      </c>
      <c r="K21" s="2">
        <v>33.630000000000003</v>
      </c>
      <c r="L21" s="2">
        <v>2.59</v>
      </c>
      <c r="N21" s="2">
        <v>16</v>
      </c>
      <c r="O21" s="2" t="s">
        <v>11</v>
      </c>
      <c r="P21" s="2">
        <v>61144</v>
      </c>
      <c r="Q21" s="2">
        <v>38466</v>
      </c>
      <c r="R21" s="2">
        <v>1424</v>
      </c>
      <c r="S21" s="2">
        <v>20466</v>
      </c>
      <c r="T21" s="2">
        <v>788</v>
      </c>
      <c r="U21" s="2">
        <v>62.91</v>
      </c>
      <c r="V21" s="2">
        <v>2.33</v>
      </c>
      <c r="W21" s="2">
        <v>33.47</v>
      </c>
      <c r="X21" s="2">
        <v>1.29</v>
      </c>
    </row>
    <row r="22" spans="2:24" x14ac:dyDescent="0.55000000000000004">
      <c r="B22" s="2">
        <v>17</v>
      </c>
      <c r="C22" s="2" t="s">
        <v>11</v>
      </c>
      <c r="D22" s="2">
        <v>31143</v>
      </c>
      <c r="E22" s="2">
        <v>18597</v>
      </c>
      <c r="F22" s="2">
        <v>350</v>
      </c>
      <c r="G22" s="2">
        <v>9890</v>
      </c>
      <c r="H22" s="2">
        <v>2306</v>
      </c>
      <c r="I22" s="2">
        <v>59.71</v>
      </c>
      <c r="J22" s="2">
        <v>1.1200000000000001</v>
      </c>
      <c r="K22" s="2">
        <v>31.76</v>
      </c>
      <c r="L22" s="2">
        <v>7.4</v>
      </c>
      <c r="N22" s="2">
        <v>17</v>
      </c>
      <c r="O22" s="2" t="s">
        <v>11</v>
      </c>
      <c r="P22" s="2">
        <v>62080</v>
      </c>
      <c r="Q22" s="2">
        <v>37194</v>
      </c>
      <c r="R22" s="2">
        <v>2800</v>
      </c>
      <c r="S22" s="2">
        <v>19780</v>
      </c>
      <c r="T22" s="2">
        <v>2306</v>
      </c>
      <c r="U22" s="2">
        <v>59.91</v>
      </c>
      <c r="V22" s="2">
        <v>4.51</v>
      </c>
      <c r="W22" s="2">
        <v>31.86</v>
      </c>
      <c r="X22" s="2">
        <v>3.71</v>
      </c>
    </row>
    <row r="23" spans="2:24" x14ac:dyDescent="0.55000000000000004">
      <c r="B23" s="2">
        <v>18</v>
      </c>
      <c r="C23" s="2" t="s">
        <v>11</v>
      </c>
      <c r="D23" s="2">
        <v>30767</v>
      </c>
      <c r="E23" s="2">
        <v>19878</v>
      </c>
      <c r="F23" s="2">
        <v>60</v>
      </c>
      <c r="G23" s="2">
        <v>10352</v>
      </c>
      <c r="H23" s="2">
        <v>477</v>
      </c>
      <c r="I23" s="2">
        <v>64.61</v>
      </c>
      <c r="J23" s="2">
        <v>0.2</v>
      </c>
      <c r="K23" s="2">
        <v>33.65</v>
      </c>
      <c r="L23" s="2">
        <v>1.55</v>
      </c>
      <c r="N23" s="2">
        <v>18</v>
      </c>
      <c r="O23" s="2" t="s">
        <v>11</v>
      </c>
      <c r="P23" s="2">
        <v>61417</v>
      </c>
      <c r="Q23" s="2">
        <v>39756</v>
      </c>
      <c r="R23" s="2">
        <v>480</v>
      </c>
      <c r="S23" s="2">
        <v>20704</v>
      </c>
      <c r="T23" s="2">
        <v>477</v>
      </c>
      <c r="U23" s="2">
        <v>64.73</v>
      </c>
      <c r="V23" s="2">
        <v>0.78</v>
      </c>
      <c r="W23" s="2">
        <v>33.71</v>
      </c>
      <c r="X23" s="2">
        <v>0.78</v>
      </c>
    </row>
    <row r="24" spans="2:24" x14ac:dyDescent="0.55000000000000004">
      <c r="B24" s="2">
        <v>19</v>
      </c>
      <c r="C24" s="2" t="s">
        <v>11</v>
      </c>
      <c r="D24" s="2">
        <v>31506</v>
      </c>
      <c r="E24" s="2">
        <v>19898</v>
      </c>
      <c r="F24" s="2">
        <v>224</v>
      </c>
      <c r="G24" s="2">
        <v>11111</v>
      </c>
      <c r="H24" s="2">
        <v>273</v>
      </c>
      <c r="I24" s="2">
        <v>63.16</v>
      </c>
      <c r="J24" s="2">
        <v>0.71</v>
      </c>
      <c r="K24" s="2">
        <v>35.270000000000003</v>
      </c>
      <c r="L24" s="2">
        <v>0.87</v>
      </c>
      <c r="N24" s="2">
        <v>19</v>
      </c>
      <c r="O24" s="2" t="s">
        <v>11</v>
      </c>
      <c r="P24" s="2">
        <v>64083</v>
      </c>
      <c r="Q24" s="2">
        <v>39796</v>
      </c>
      <c r="R24" s="2">
        <v>1792</v>
      </c>
      <c r="S24" s="2">
        <v>22222</v>
      </c>
      <c r="T24" s="2">
        <v>273</v>
      </c>
      <c r="U24" s="2">
        <v>62.1</v>
      </c>
      <c r="V24" s="2">
        <v>2.8</v>
      </c>
      <c r="W24" s="2">
        <v>34.68</v>
      </c>
      <c r="X24" s="2">
        <v>0.43</v>
      </c>
    </row>
    <row r="25" spans="2:24" x14ac:dyDescent="0.55000000000000004">
      <c r="B25" s="2">
        <v>20</v>
      </c>
      <c r="C25" s="2" t="s">
        <v>11</v>
      </c>
      <c r="D25" s="2">
        <v>30929</v>
      </c>
      <c r="E25" s="2">
        <v>18030</v>
      </c>
      <c r="F25" s="2">
        <v>541</v>
      </c>
      <c r="G25" s="2">
        <v>10632</v>
      </c>
      <c r="H25" s="2">
        <v>1726</v>
      </c>
      <c r="I25" s="2">
        <v>58.29</v>
      </c>
      <c r="J25" s="2">
        <v>1.75</v>
      </c>
      <c r="K25" s="2">
        <v>34.380000000000003</v>
      </c>
      <c r="L25" s="2">
        <v>5.58</v>
      </c>
      <c r="N25" s="2">
        <v>20</v>
      </c>
      <c r="O25" s="2" t="s">
        <v>11</v>
      </c>
      <c r="P25" s="2">
        <v>63378</v>
      </c>
      <c r="Q25" s="2">
        <v>36060</v>
      </c>
      <c r="R25" s="2">
        <v>4328</v>
      </c>
      <c r="S25" s="2">
        <v>21264</v>
      </c>
      <c r="T25" s="2">
        <v>1726</v>
      </c>
      <c r="U25" s="2">
        <v>56.9</v>
      </c>
      <c r="V25" s="2">
        <v>6.83</v>
      </c>
      <c r="W25" s="2">
        <v>33.549999999999997</v>
      </c>
      <c r="X25" s="2">
        <v>2.72</v>
      </c>
    </row>
    <row r="26" spans="2:24" x14ac:dyDescent="0.55000000000000004">
      <c r="B26" s="2">
        <v>21</v>
      </c>
      <c r="C26" s="2" t="s">
        <v>11</v>
      </c>
      <c r="D26" s="2">
        <v>31129</v>
      </c>
      <c r="E26" s="2">
        <v>19605</v>
      </c>
      <c r="F26" s="2">
        <v>64</v>
      </c>
      <c r="G26" s="2">
        <v>11157</v>
      </c>
      <c r="H26" s="2">
        <v>303</v>
      </c>
      <c r="I26" s="2">
        <v>62.98</v>
      </c>
      <c r="J26" s="2">
        <v>0.21</v>
      </c>
      <c r="K26" s="2">
        <v>35.840000000000003</v>
      </c>
      <c r="L26" s="2">
        <v>0.97</v>
      </c>
      <c r="N26" s="2">
        <v>21</v>
      </c>
      <c r="O26" s="2" t="s">
        <v>11</v>
      </c>
      <c r="P26" s="2">
        <v>62339</v>
      </c>
      <c r="Q26" s="2">
        <v>39210</v>
      </c>
      <c r="R26" s="2">
        <v>512</v>
      </c>
      <c r="S26" s="2">
        <v>22314</v>
      </c>
      <c r="T26" s="2">
        <v>303</v>
      </c>
      <c r="U26" s="2">
        <v>62.9</v>
      </c>
      <c r="V26" s="2">
        <v>0.82</v>
      </c>
      <c r="W26" s="2">
        <v>35.79</v>
      </c>
      <c r="X26" s="2">
        <v>0.49</v>
      </c>
    </row>
    <row r="27" spans="2:24" x14ac:dyDescent="0.55000000000000004">
      <c r="B27" s="2">
        <v>22</v>
      </c>
      <c r="C27" s="2" t="s">
        <v>11</v>
      </c>
      <c r="D27" s="2">
        <v>31057</v>
      </c>
      <c r="E27" s="2">
        <v>19485</v>
      </c>
      <c r="F27" s="2">
        <v>356</v>
      </c>
      <c r="G27" s="2">
        <v>11043</v>
      </c>
      <c r="H27" s="2">
        <v>173</v>
      </c>
      <c r="I27" s="2">
        <v>62.74</v>
      </c>
      <c r="J27" s="2">
        <v>1.1499999999999999</v>
      </c>
      <c r="K27" s="2">
        <v>35.56</v>
      </c>
      <c r="L27" s="2">
        <v>0.56000000000000005</v>
      </c>
      <c r="N27" s="2">
        <v>22</v>
      </c>
      <c r="O27" s="2" t="s">
        <v>11</v>
      </c>
      <c r="P27" s="2">
        <v>64077</v>
      </c>
      <c r="Q27" s="2">
        <v>38970</v>
      </c>
      <c r="R27" s="2">
        <v>2848</v>
      </c>
      <c r="S27" s="2">
        <v>22086</v>
      </c>
      <c r="T27" s="2">
        <v>173</v>
      </c>
      <c r="U27" s="2">
        <v>60.82</v>
      </c>
      <c r="V27" s="2">
        <v>4.4400000000000004</v>
      </c>
      <c r="W27" s="2">
        <v>34.47</v>
      </c>
      <c r="X27" s="2">
        <v>0.27</v>
      </c>
    </row>
    <row r="28" spans="2:24" x14ac:dyDescent="0.55000000000000004">
      <c r="B28" s="2">
        <v>23</v>
      </c>
      <c r="C28" s="2" t="s">
        <v>11</v>
      </c>
      <c r="D28" s="2">
        <v>30654</v>
      </c>
      <c r="E28" s="2">
        <v>19545</v>
      </c>
      <c r="F28" s="2">
        <v>197</v>
      </c>
      <c r="G28" s="2">
        <v>10519</v>
      </c>
      <c r="H28" s="2">
        <v>393</v>
      </c>
      <c r="I28" s="2">
        <v>63.76</v>
      </c>
      <c r="J28" s="2">
        <v>0.64</v>
      </c>
      <c r="K28" s="2">
        <v>34.32</v>
      </c>
      <c r="L28" s="2">
        <v>1.28</v>
      </c>
      <c r="N28" s="2">
        <v>23</v>
      </c>
      <c r="O28" s="2" t="s">
        <v>11</v>
      </c>
      <c r="P28" s="2">
        <v>62097</v>
      </c>
      <c r="Q28" s="2">
        <v>39090</v>
      </c>
      <c r="R28" s="2">
        <v>1576</v>
      </c>
      <c r="S28" s="2">
        <v>21038</v>
      </c>
      <c r="T28" s="2">
        <v>393</v>
      </c>
      <c r="U28" s="2">
        <v>62.95</v>
      </c>
      <c r="V28" s="2">
        <v>2.54</v>
      </c>
      <c r="W28" s="2">
        <v>33.880000000000003</v>
      </c>
      <c r="X28" s="2">
        <v>0.63</v>
      </c>
    </row>
    <row r="29" spans="2:24" x14ac:dyDescent="0.55000000000000004">
      <c r="B29" s="2">
        <v>24</v>
      </c>
      <c r="C29" s="2" t="s">
        <v>11</v>
      </c>
      <c r="D29" s="2">
        <v>31312</v>
      </c>
      <c r="E29" s="2">
        <v>19688</v>
      </c>
      <c r="F29" s="2">
        <v>297</v>
      </c>
      <c r="G29" s="2">
        <v>10497</v>
      </c>
      <c r="H29" s="2">
        <v>830</v>
      </c>
      <c r="I29" s="2">
        <v>62.88</v>
      </c>
      <c r="J29" s="2">
        <v>0.95</v>
      </c>
      <c r="K29" s="2">
        <v>33.520000000000003</v>
      </c>
      <c r="L29" s="2">
        <v>2.65</v>
      </c>
      <c r="N29" s="2">
        <v>24</v>
      </c>
      <c r="O29" s="2" t="s">
        <v>11</v>
      </c>
      <c r="P29" s="2">
        <v>63576</v>
      </c>
      <c r="Q29" s="2">
        <v>39376</v>
      </c>
      <c r="R29" s="2">
        <v>2376</v>
      </c>
      <c r="S29" s="2">
        <v>20994</v>
      </c>
      <c r="T29" s="2">
        <v>830</v>
      </c>
      <c r="U29" s="2">
        <v>61.94</v>
      </c>
      <c r="V29" s="2">
        <v>3.74</v>
      </c>
      <c r="W29" s="2">
        <v>33.020000000000003</v>
      </c>
      <c r="X29" s="2">
        <v>1.31</v>
      </c>
    </row>
    <row r="30" spans="2:24" x14ac:dyDescent="0.55000000000000004">
      <c r="B30" s="2">
        <v>25</v>
      </c>
      <c r="C30" s="2" t="s">
        <v>11</v>
      </c>
      <c r="D30" s="2">
        <v>30813</v>
      </c>
      <c r="E30" s="2">
        <v>19530</v>
      </c>
      <c r="F30" s="2">
        <v>438</v>
      </c>
      <c r="G30" s="2">
        <v>10354</v>
      </c>
      <c r="H30" s="2">
        <v>491</v>
      </c>
      <c r="I30" s="2">
        <v>63.38</v>
      </c>
      <c r="J30" s="2">
        <v>1.42</v>
      </c>
      <c r="K30" s="2">
        <v>33.6</v>
      </c>
      <c r="L30" s="2">
        <v>1.59</v>
      </c>
      <c r="N30" s="2">
        <v>25</v>
      </c>
      <c r="O30" s="2" t="s">
        <v>11</v>
      </c>
      <c r="P30" s="2">
        <v>63763</v>
      </c>
      <c r="Q30" s="2">
        <v>39060</v>
      </c>
      <c r="R30" s="2">
        <v>3504</v>
      </c>
      <c r="S30" s="2">
        <v>20708</v>
      </c>
      <c r="T30" s="2">
        <v>491</v>
      </c>
      <c r="U30" s="2">
        <v>61.26</v>
      </c>
      <c r="V30" s="2">
        <v>5.5</v>
      </c>
      <c r="W30" s="2">
        <v>32.479999999999997</v>
      </c>
      <c r="X30" s="2">
        <v>0.77</v>
      </c>
    </row>
    <row r="31" spans="2:24" x14ac:dyDescent="0.55000000000000004">
      <c r="B31" s="2">
        <v>26</v>
      </c>
      <c r="C31" s="2" t="s">
        <v>11</v>
      </c>
      <c r="D31" s="2">
        <v>30817</v>
      </c>
      <c r="E31" s="2">
        <v>18893</v>
      </c>
      <c r="F31" s="2">
        <v>504</v>
      </c>
      <c r="G31" s="2">
        <v>10190</v>
      </c>
      <c r="H31" s="2">
        <v>1230</v>
      </c>
      <c r="I31" s="2">
        <v>61.31</v>
      </c>
      <c r="J31" s="2">
        <v>1.64</v>
      </c>
      <c r="K31" s="2">
        <v>33.07</v>
      </c>
      <c r="L31" s="2">
        <v>3.99</v>
      </c>
      <c r="N31" s="2">
        <v>26</v>
      </c>
      <c r="O31" s="2" t="s">
        <v>11</v>
      </c>
      <c r="P31" s="2">
        <v>63428</v>
      </c>
      <c r="Q31" s="2">
        <v>37786</v>
      </c>
      <c r="R31" s="2">
        <v>4032</v>
      </c>
      <c r="S31" s="2">
        <v>20380</v>
      </c>
      <c r="T31" s="2">
        <v>1230</v>
      </c>
      <c r="U31" s="2">
        <v>59.57</v>
      </c>
      <c r="V31" s="2">
        <v>6.36</v>
      </c>
      <c r="W31" s="2">
        <v>32.130000000000003</v>
      </c>
      <c r="X31" s="2">
        <v>1.94</v>
      </c>
    </row>
    <row r="32" spans="2:24" x14ac:dyDescent="0.55000000000000004">
      <c r="B32" s="2">
        <v>27</v>
      </c>
      <c r="C32" s="2" t="s">
        <v>11</v>
      </c>
      <c r="D32" s="2">
        <v>30697</v>
      </c>
      <c r="E32" s="2">
        <v>19340</v>
      </c>
      <c r="F32" s="2">
        <v>477</v>
      </c>
      <c r="G32" s="2">
        <v>10457</v>
      </c>
      <c r="H32" s="2">
        <v>423</v>
      </c>
      <c r="I32" s="2">
        <v>63</v>
      </c>
      <c r="J32" s="2">
        <v>1.55</v>
      </c>
      <c r="K32" s="2">
        <v>34.07</v>
      </c>
      <c r="L32" s="2">
        <v>1.38</v>
      </c>
      <c r="N32" s="2">
        <v>27</v>
      </c>
      <c r="O32" s="2" t="s">
        <v>11</v>
      </c>
      <c r="P32" s="2">
        <v>63833</v>
      </c>
      <c r="Q32" s="2">
        <v>38680</v>
      </c>
      <c r="R32" s="2">
        <v>3816</v>
      </c>
      <c r="S32" s="2">
        <v>20914</v>
      </c>
      <c r="T32" s="2">
        <v>423</v>
      </c>
      <c r="U32" s="2">
        <v>60.6</v>
      </c>
      <c r="V32" s="2">
        <v>5.98</v>
      </c>
      <c r="W32" s="2">
        <v>32.76</v>
      </c>
      <c r="X32" s="2">
        <v>0.66</v>
      </c>
    </row>
    <row r="33" spans="2:24" x14ac:dyDescent="0.55000000000000004">
      <c r="B33" s="2">
        <v>28</v>
      </c>
      <c r="C33" s="2" t="s">
        <v>11</v>
      </c>
      <c r="D33" s="2">
        <v>30655</v>
      </c>
      <c r="E33" s="2">
        <v>19420</v>
      </c>
      <c r="F33" s="2">
        <v>372</v>
      </c>
      <c r="G33" s="2">
        <v>10376</v>
      </c>
      <c r="H33" s="2">
        <v>487</v>
      </c>
      <c r="I33" s="2">
        <v>63.35</v>
      </c>
      <c r="J33" s="2">
        <v>1.21</v>
      </c>
      <c r="K33" s="2">
        <v>33.85</v>
      </c>
      <c r="L33" s="2">
        <v>1.59</v>
      </c>
      <c r="N33" s="2">
        <v>28</v>
      </c>
      <c r="O33" s="2" t="s">
        <v>11</v>
      </c>
      <c r="P33" s="2">
        <v>63055</v>
      </c>
      <c r="Q33" s="2">
        <v>38840</v>
      </c>
      <c r="R33" s="2">
        <v>2976</v>
      </c>
      <c r="S33" s="2">
        <v>20752</v>
      </c>
      <c r="T33" s="2">
        <v>487</v>
      </c>
      <c r="U33" s="2">
        <v>61.6</v>
      </c>
      <c r="V33" s="2">
        <v>4.72</v>
      </c>
      <c r="W33" s="2">
        <v>32.909999999999997</v>
      </c>
      <c r="X33" s="2">
        <v>0.77</v>
      </c>
    </row>
    <row r="34" spans="2:24" x14ac:dyDescent="0.55000000000000004">
      <c r="B34" s="2">
        <v>29</v>
      </c>
      <c r="C34" s="2" t="s">
        <v>11</v>
      </c>
      <c r="D34" s="2">
        <v>30571</v>
      </c>
      <c r="E34" s="2">
        <v>18310</v>
      </c>
      <c r="F34" s="2">
        <v>495</v>
      </c>
      <c r="G34" s="2">
        <v>10005</v>
      </c>
      <c r="H34" s="2">
        <v>1761</v>
      </c>
      <c r="I34" s="2">
        <v>59.89</v>
      </c>
      <c r="J34" s="2">
        <v>1.62</v>
      </c>
      <c r="K34" s="2">
        <v>32.729999999999997</v>
      </c>
      <c r="L34" s="2">
        <v>5.76</v>
      </c>
      <c r="N34" s="2">
        <v>29</v>
      </c>
      <c r="O34" s="2" t="s">
        <v>11</v>
      </c>
      <c r="P34" s="2">
        <v>62351</v>
      </c>
      <c r="Q34" s="2">
        <v>36620</v>
      </c>
      <c r="R34" s="2">
        <v>3960</v>
      </c>
      <c r="S34" s="2">
        <v>20010</v>
      </c>
      <c r="T34" s="2">
        <v>1761</v>
      </c>
      <c r="U34" s="2">
        <v>58.73</v>
      </c>
      <c r="V34" s="2">
        <v>6.35</v>
      </c>
      <c r="W34" s="2">
        <v>32.090000000000003</v>
      </c>
      <c r="X34" s="2">
        <v>2.82</v>
      </c>
    </row>
    <row r="35" spans="2:24" x14ac:dyDescent="0.55000000000000004">
      <c r="B35" s="2">
        <v>30</v>
      </c>
      <c r="C35" s="2" t="s">
        <v>11</v>
      </c>
      <c r="D35" s="2">
        <v>30850</v>
      </c>
      <c r="E35" s="2">
        <v>19157</v>
      </c>
      <c r="F35" s="2">
        <v>507</v>
      </c>
      <c r="G35" s="2">
        <v>10435</v>
      </c>
      <c r="H35" s="2">
        <v>751</v>
      </c>
      <c r="I35" s="2">
        <v>62.1</v>
      </c>
      <c r="J35" s="2">
        <v>1.64</v>
      </c>
      <c r="K35" s="2">
        <v>33.82</v>
      </c>
      <c r="L35" s="2">
        <v>2.4300000000000002</v>
      </c>
      <c r="N35" s="2">
        <v>30</v>
      </c>
      <c r="O35" s="2" t="s">
        <v>11</v>
      </c>
      <c r="P35" s="2">
        <v>63991</v>
      </c>
      <c r="Q35" s="2">
        <v>38314</v>
      </c>
      <c r="R35" s="2">
        <v>4056</v>
      </c>
      <c r="S35" s="2">
        <v>20870</v>
      </c>
      <c r="T35" s="2">
        <v>751</v>
      </c>
      <c r="U35" s="2">
        <v>59.87</v>
      </c>
      <c r="V35" s="2">
        <v>6.34</v>
      </c>
      <c r="W35" s="2">
        <v>32.61</v>
      </c>
      <c r="X35" s="2">
        <v>1.17</v>
      </c>
    </row>
    <row r="36" spans="2:24" x14ac:dyDescent="0.55000000000000004">
      <c r="B36" s="2">
        <v>31</v>
      </c>
      <c r="C36" s="2" t="s">
        <v>11</v>
      </c>
      <c r="D36" s="2">
        <v>30993</v>
      </c>
      <c r="E36" s="2">
        <v>19363</v>
      </c>
      <c r="F36" s="2">
        <v>268</v>
      </c>
      <c r="G36" s="2">
        <v>11025</v>
      </c>
      <c r="H36" s="2">
        <v>337</v>
      </c>
      <c r="I36" s="2">
        <v>62.48</v>
      </c>
      <c r="J36" s="2">
        <v>0.86</v>
      </c>
      <c r="K36" s="2">
        <v>35.57</v>
      </c>
      <c r="L36" s="2">
        <v>1.0900000000000001</v>
      </c>
      <c r="N36" s="2">
        <v>31</v>
      </c>
      <c r="O36" s="2" t="s">
        <v>11</v>
      </c>
      <c r="P36" s="2">
        <v>63257</v>
      </c>
      <c r="Q36" s="2">
        <v>38726</v>
      </c>
      <c r="R36" s="2">
        <v>2144</v>
      </c>
      <c r="S36" s="2">
        <v>22050</v>
      </c>
      <c r="T36" s="2">
        <v>337</v>
      </c>
      <c r="U36" s="2">
        <v>61.22</v>
      </c>
      <c r="V36" s="2">
        <v>3.39</v>
      </c>
      <c r="W36" s="2">
        <v>34.86</v>
      </c>
      <c r="X36" s="2">
        <v>0.53</v>
      </c>
    </row>
    <row r="37" spans="2:24" x14ac:dyDescent="0.55000000000000004">
      <c r="B37" s="2">
        <v>32</v>
      </c>
      <c r="C37" s="2" t="s">
        <v>11</v>
      </c>
      <c r="D37" s="2">
        <v>31211</v>
      </c>
      <c r="E37" s="2">
        <v>19339</v>
      </c>
      <c r="F37" s="2">
        <v>94</v>
      </c>
      <c r="G37" s="2">
        <v>10664</v>
      </c>
      <c r="H37" s="2">
        <v>1114</v>
      </c>
      <c r="I37" s="2">
        <v>61.96</v>
      </c>
      <c r="J37" s="2">
        <v>0.3</v>
      </c>
      <c r="K37" s="2">
        <v>34.17</v>
      </c>
      <c r="L37" s="2">
        <v>3.57</v>
      </c>
      <c r="N37" s="2">
        <v>32</v>
      </c>
      <c r="O37" s="2" t="s">
        <v>11</v>
      </c>
      <c r="P37" s="2">
        <v>61872</v>
      </c>
      <c r="Q37" s="2">
        <v>38678</v>
      </c>
      <c r="R37" s="2">
        <v>752</v>
      </c>
      <c r="S37" s="2">
        <v>21328</v>
      </c>
      <c r="T37" s="2">
        <v>1114</v>
      </c>
      <c r="U37" s="2">
        <v>62.51</v>
      </c>
      <c r="V37" s="2">
        <v>1.22</v>
      </c>
      <c r="W37" s="2">
        <v>34.47</v>
      </c>
      <c r="X37" s="2">
        <v>1.8</v>
      </c>
    </row>
    <row r="38" spans="2:24" x14ac:dyDescent="0.55000000000000004">
      <c r="B38" s="2">
        <v>33</v>
      </c>
      <c r="C38" s="2" t="s">
        <v>12</v>
      </c>
      <c r="D38" s="2">
        <v>30842</v>
      </c>
      <c r="E38" s="2">
        <v>19335</v>
      </c>
      <c r="F38" s="2">
        <v>614</v>
      </c>
      <c r="G38" s="2">
        <v>10674</v>
      </c>
      <c r="H38" s="2">
        <v>219</v>
      </c>
      <c r="I38" s="2">
        <v>62.69</v>
      </c>
      <c r="J38" s="2">
        <v>1.99</v>
      </c>
      <c r="K38" s="2">
        <v>34.61</v>
      </c>
      <c r="L38" s="2">
        <v>0.71</v>
      </c>
      <c r="N38" s="2">
        <v>33</v>
      </c>
      <c r="O38" s="2" t="s">
        <v>12</v>
      </c>
      <c r="P38" s="2">
        <v>65149</v>
      </c>
      <c r="Q38" s="2">
        <v>38670</v>
      </c>
      <c r="R38" s="2">
        <v>4912</v>
      </c>
      <c r="S38" s="2">
        <v>21348</v>
      </c>
      <c r="T38" s="2">
        <v>219</v>
      </c>
      <c r="U38" s="2">
        <v>59.36</v>
      </c>
      <c r="V38" s="2">
        <v>7.54</v>
      </c>
      <c r="W38" s="2">
        <v>32.770000000000003</v>
      </c>
      <c r="X38" s="2">
        <v>0.34</v>
      </c>
    </row>
    <row r="39" spans="2:24" x14ac:dyDescent="0.55000000000000004">
      <c r="B39" s="2">
        <v>34</v>
      </c>
      <c r="C39" s="2" t="s">
        <v>12</v>
      </c>
      <c r="D39" s="2">
        <v>30908</v>
      </c>
      <c r="E39" s="2">
        <v>19112</v>
      </c>
      <c r="F39" s="2">
        <v>680</v>
      </c>
      <c r="G39" s="2">
        <v>10568</v>
      </c>
      <c r="H39" s="2">
        <v>548</v>
      </c>
      <c r="I39" s="2">
        <v>61.84</v>
      </c>
      <c r="J39" s="2">
        <v>2.2000000000000002</v>
      </c>
      <c r="K39" s="2">
        <v>34.19</v>
      </c>
      <c r="L39" s="2">
        <v>1.77</v>
      </c>
      <c r="N39" s="2">
        <v>34</v>
      </c>
      <c r="O39" s="2" t="s">
        <v>12</v>
      </c>
      <c r="P39" s="2">
        <v>65348</v>
      </c>
      <c r="Q39" s="2">
        <v>38224</v>
      </c>
      <c r="R39" s="2">
        <v>5440</v>
      </c>
      <c r="S39" s="2">
        <v>21136</v>
      </c>
      <c r="T39" s="2">
        <v>548</v>
      </c>
      <c r="U39" s="2">
        <v>58.49</v>
      </c>
      <c r="V39" s="2">
        <v>8.32</v>
      </c>
      <c r="W39" s="2">
        <v>32.340000000000003</v>
      </c>
      <c r="X39" s="2">
        <v>0.84</v>
      </c>
    </row>
    <row r="40" spans="2:24" x14ac:dyDescent="0.55000000000000004">
      <c r="B40" s="2">
        <v>35</v>
      </c>
      <c r="C40" s="2" t="s">
        <v>12</v>
      </c>
      <c r="D40" s="2">
        <v>31560</v>
      </c>
      <c r="E40" s="2">
        <v>19095</v>
      </c>
      <c r="F40" s="2">
        <v>579</v>
      </c>
      <c r="G40" s="2">
        <v>11064</v>
      </c>
      <c r="H40" s="2">
        <v>822</v>
      </c>
      <c r="I40" s="2">
        <v>60.5</v>
      </c>
      <c r="J40" s="2">
        <v>1.83</v>
      </c>
      <c r="K40" s="2">
        <v>35.06</v>
      </c>
      <c r="L40" s="2">
        <v>2.6</v>
      </c>
      <c r="N40" s="2">
        <v>35</v>
      </c>
      <c r="O40" s="2" t="s">
        <v>12</v>
      </c>
      <c r="P40" s="2">
        <v>65772</v>
      </c>
      <c r="Q40" s="2">
        <v>38190</v>
      </c>
      <c r="R40" s="2">
        <v>4632</v>
      </c>
      <c r="S40" s="2">
        <v>22128</v>
      </c>
      <c r="T40" s="2">
        <v>822</v>
      </c>
      <c r="U40" s="2">
        <v>58.06</v>
      </c>
      <c r="V40" s="2">
        <v>7.04</v>
      </c>
      <c r="W40" s="2">
        <v>33.64</v>
      </c>
      <c r="X40" s="2">
        <v>1.25</v>
      </c>
    </row>
    <row r="41" spans="2:24" x14ac:dyDescent="0.55000000000000004">
      <c r="B41" s="2">
        <v>36</v>
      </c>
      <c r="C41" s="2" t="s">
        <v>12</v>
      </c>
      <c r="D41" s="2">
        <v>31265</v>
      </c>
      <c r="E41" s="2">
        <v>19484</v>
      </c>
      <c r="F41" s="2">
        <v>387</v>
      </c>
      <c r="G41" s="2">
        <v>11193</v>
      </c>
      <c r="H41" s="2">
        <v>201</v>
      </c>
      <c r="I41" s="2">
        <v>62.32</v>
      </c>
      <c r="J41" s="2">
        <v>1.24</v>
      </c>
      <c r="K41" s="2">
        <v>35.799999999999997</v>
      </c>
      <c r="L41" s="2">
        <v>0.64</v>
      </c>
      <c r="N41" s="2">
        <v>36</v>
      </c>
      <c r="O41" s="2" t="s">
        <v>12</v>
      </c>
      <c r="P41" s="2">
        <v>64651</v>
      </c>
      <c r="Q41" s="2">
        <v>38968</v>
      </c>
      <c r="R41" s="2">
        <v>3096</v>
      </c>
      <c r="S41" s="2">
        <v>22386</v>
      </c>
      <c r="T41" s="2">
        <v>201</v>
      </c>
      <c r="U41" s="2">
        <v>60.27</v>
      </c>
      <c r="V41" s="2">
        <v>4.79</v>
      </c>
      <c r="W41" s="2">
        <v>34.630000000000003</v>
      </c>
      <c r="X41" s="2">
        <v>0.31</v>
      </c>
    </row>
    <row r="42" spans="2:24" x14ac:dyDescent="0.55000000000000004">
      <c r="B42" s="2">
        <v>37</v>
      </c>
      <c r="C42" s="2" t="s">
        <v>14</v>
      </c>
      <c r="D42" s="5">
        <v>31237</v>
      </c>
      <c r="E42" s="5">
        <v>19645</v>
      </c>
      <c r="F42" s="5">
        <v>275</v>
      </c>
      <c r="G42" s="5">
        <v>11036</v>
      </c>
      <c r="H42" s="5">
        <v>281</v>
      </c>
      <c r="I42" s="5">
        <v>62.89</v>
      </c>
      <c r="J42" s="5">
        <v>0.88</v>
      </c>
      <c r="K42" s="5">
        <v>35.33</v>
      </c>
      <c r="L42" s="5">
        <v>0.9</v>
      </c>
      <c r="N42" s="2">
        <v>37</v>
      </c>
      <c r="O42" s="2" t="s">
        <v>14</v>
      </c>
      <c r="P42" s="2">
        <v>63843</v>
      </c>
      <c r="Q42" s="2">
        <v>39290</v>
      </c>
      <c r="R42" s="2">
        <v>2200</v>
      </c>
      <c r="S42" s="2">
        <v>22072</v>
      </c>
      <c r="T42" s="2">
        <v>281</v>
      </c>
      <c r="U42" s="2">
        <v>61.54</v>
      </c>
      <c r="V42" s="2">
        <v>3.45</v>
      </c>
      <c r="W42" s="2">
        <v>34.57</v>
      </c>
      <c r="X42" s="2">
        <v>0.44</v>
      </c>
    </row>
    <row r="43" spans="2:24" x14ac:dyDescent="0.55000000000000004">
      <c r="B43" s="2">
        <v>38</v>
      </c>
      <c r="C43" s="2" t="s">
        <v>14</v>
      </c>
      <c r="D43" s="5">
        <v>30554</v>
      </c>
      <c r="E43" s="5">
        <v>19159</v>
      </c>
      <c r="F43" s="5">
        <v>238</v>
      </c>
      <c r="G43" s="5">
        <v>10366</v>
      </c>
      <c r="H43" s="5">
        <v>791</v>
      </c>
      <c r="I43" s="5">
        <v>62.71</v>
      </c>
      <c r="J43" s="5">
        <v>0.78</v>
      </c>
      <c r="K43" s="5">
        <v>33.93</v>
      </c>
      <c r="L43" s="5">
        <v>2.59</v>
      </c>
      <c r="N43" s="2">
        <v>38</v>
      </c>
      <c r="O43" s="2" t="s">
        <v>14</v>
      </c>
      <c r="P43" s="2">
        <v>61745</v>
      </c>
      <c r="Q43" s="2">
        <v>38318</v>
      </c>
      <c r="R43" s="2">
        <v>1904</v>
      </c>
      <c r="S43" s="2">
        <v>20732</v>
      </c>
      <c r="T43" s="2">
        <v>791</v>
      </c>
      <c r="U43" s="2">
        <v>62.06</v>
      </c>
      <c r="V43" s="2">
        <v>3.08</v>
      </c>
      <c r="W43" s="2">
        <v>33.58</v>
      </c>
      <c r="X43" s="2">
        <v>1.28</v>
      </c>
    </row>
    <row r="44" spans="2:24" x14ac:dyDescent="0.55000000000000004">
      <c r="B44" s="2">
        <v>39</v>
      </c>
      <c r="C44" s="2" t="s">
        <v>14</v>
      </c>
      <c r="D44" s="5">
        <v>30497</v>
      </c>
      <c r="E44" s="5">
        <v>19752</v>
      </c>
      <c r="F44" s="5">
        <v>95</v>
      </c>
      <c r="G44" s="5">
        <v>10528</v>
      </c>
      <c r="H44" s="5">
        <v>122</v>
      </c>
      <c r="I44" s="5">
        <v>64.77</v>
      </c>
      <c r="J44" s="5">
        <v>0.31</v>
      </c>
      <c r="K44" s="5">
        <v>34.520000000000003</v>
      </c>
      <c r="L44" s="5">
        <v>0.4</v>
      </c>
      <c r="N44" s="2">
        <v>39</v>
      </c>
      <c r="O44" s="2" t="s">
        <v>14</v>
      </c>
      <c r="P44" s="2">
        <v>61442</v>
      </c>
      <c r="Q44" s="2">
        <v>39504</v>
      </c>
      <c r="R44" s="2">
        <v>760</v>
      </c>
      <c r="S44" s="2">
        <v>21056</v>
      </c>
      <c r="T44" s="2">
        <v>122</v>
      </c>
      <c r="U44" s="2">
        <v>64.290000000000006</v>
      </c>
      <c r="V44" s="2">
        <v>1.24</v>
      </c>
      <c r="W44" s="2">
        <v>34.270000000000003</v>
      </c>
      <c r="X44" s="2">
        <v>0.2</v>
      </c>
    </row>
    <row r="45" spans="2:24" x14ac:dyDescent="0.55000000000000004">
      <c r="B45" s="2">
        <v>40</v>
      </c>
      <c r="C45" s="2" t="s">
        <v>14</v>
      </c>
      <c r="D45" s="5">
        <v>31421</v>
      </c>
      <c r="E45" s="5">
        <v>19603</v>
      </c>
      <c r="F45" s="5">
        <v>154</v>
      </c>
      <c r="G45" s="5">
        <v>11000</v>
      </c>
      <c r="H45" s="5">
        <v>664</v>
      </c>
      <c r="I45" s="5">
        <v>62.39</v>
      </c>
      <c r="J45" s="5">
        <v>0.49</v>
      </c>
      <c r="K45" s="5">
        <v>35.01</v>
      </c>
      <c r="L45" s="5">
        <v>2.11</v>
      </c>
      <c r="N45" s="2">
        <v>40</v>
      </c>
      <c r="O45" s="2" t="s">
        <v>14</v>
      </c>
      <c r="P45" s="2">
        <v>63102</v>
      </c>
      <c r="Q45" s="2">
        <v>39206</v>
      </c>
      <c r="R45" s="2">
        <v>1232</v>
      </c>
      <c r="S45" s="2">
        <v>22000</v>
      </c>
      <c r="T45" s="2">
        <v>664</v>
      </c>
      <c r="U45" s="2">
        <v>62.13</v>
      </c>
      <c r="V45" s="2">
        <v>1.95</v>
      </c>
      <c r="W45" s="2">
        <v>34.86</v>
      </c>
      <c r="X45" s="2">
        <v>1.05</v>
      </c>
    </row>
    <row r="46" spans="2:24" x14ac:dyDescent="0.55000000000000004">
      <c r="B46" s="2">
        <v>41</v>
      </c>
      <c r="C46" s="2" t="s">
        <v>14</v>
      </c>
      <c r="D46" s="5">
        <v>31332</v>
      </c>
      <c r="E46" s="5">
        <v>18992</v>
      </c>
      <c r="F46" s="5">
        <v>665</v>
      </c>
      <c r="G46" s="5">
        <v>11028</v>
      </c>
      <c r="H46" s="5">
        <v>647</v>
      </c>
      <c r="I46" s="5">
        <v>60.62</v>
      </c>
      <c r="J46" s="5">
        <v>2.12</v>
      </c>
      <c r="K46" s="5">
        <v>35.200000000000003</v>
      </c>
      <c r="L46" s="5">
        <v>2.06</v>
      </c>
      <c r="N46" s="2">
        <v>41</v>
      </c>
      <c r="O46" s="2" t="s">
        <v>14</v>
      </c>
      <c r="P46" s="2">
        <v>66007</v>
      </c>
      <c r="Q46" s="2">
        <v>37984</v>
      </c>
      <c r="R46" s="2">
        <v>5320</v>
      </c>
      <c r="S46" s="2">
        <v>22056</v>
      </c>
      <c r="T46" s="2">
        <v>647</v>
      </c>
      <c r="U46" s="2">
        <v>57.55</v>
      </c>
      <c r="V46" s="2">
        <v>8.06</v>
      </c>
      <c r="W46" s="2">
        <v>33.409999999999997</v>
      </c>
      <c r="X46" s="2">
        <v>0.98</v>
      </c>
    </row>
    <row r="47" spans="2:24" x14ac:dyDescent="0.55000000000000004">
      <c r="B47" s="2">
        <v>42</v>
      </c>
      <c r="C47" s="2" t="s">
        <v>14</v>
      </c>
      <c r="D47" s="5">
        <v>31267</v>
      </c>
      <c r="E47" s="5">
        <v>18495</v>
      </c>
      <c r="F47" s="5">
        <v>353</v>
      </c>
      <c r="G47" s="5">
        <v>10892</v>
      </c>
      <c r="H47" s="5">
        <v>1527</v>
      </c>
      <c r="I47" s="5">
        <v>59.15</v>
      </c>
      <c r="J47" s="5">
        <v>1.1299999999999999</v>
      </c>
      <c r="K47" s="5">
        <v>34.840000000000003</v>
      </c>
      <c r="L47" s="5">
        <v>4.88</v>
      </c>
      <c r="N47" s="2">
        <v>42</v>
      </c>
      <c r="O47" s="2" t="s">
        <v>14</v>
      </c>
      <c r="P47" s="2">
        <v>63125</v>
      </c>
      <c r="Q47" s="2">
        <v>36990</v>
      </c>
      <c r="R47" s="2">
        <v>2824</v>
      </c>
      <c r="S47" s="2">
        <v>21784</v>
      </c>
      <c r="T47" s="2">
        <v>1527</v>
      </c>
      <c r="U47" s="2">
        <v>58.6</v>
      </c>
      <c r="V47" s="2">
        <v>4.47</v>
      </c>
      <c r="W47" s="2">
        <v>34.51</v>
      </c>
      <c r="X47" s="2">
        <v>2.42</v>
      </c>
    </row>
    <row r="48" spans="2:24" x14ac:dyDescent="0.55000000000000004">
      <c r="B48" s="2">
        <v>43</v>
      </c>
      <c r="C48" s="2" t="s">
        <v>14</v>
      </c>
      <c r="D48" s="5">
        <v>31273</v>
      </c>
      <c r="E48" s="5">
        <v>19139</v>
      </c>
      <c r="F48" s="5">
        <v>438</v>
      </c>
      <c r="G48" s="5">
        <v>11163</v>
      </c>
      <c r="H48" s="5">
        <v>533</v>
      </c>
      <c r="I48" s="5">
        <v>61.2</v>
      </c>
      <c r="J48" s="5">
        <v>1.4</v>
      </c>
      <c r="K48" s="5">
        <v>35.700000000000003</v>
      </c>
      <c r="L48" s="5">
        <v>1.7</v>
      </c>
      <c r="N48" s="2">
        <v>43</v>
      </c>
      <c r="O48" s="2" t="s">
        <v>14</v>
      </c>
      <c r="P48" s="2">
        <v>64641</v>
      </c>
      <c r="Q48" s="2">
        <v>38278</v>
      </c>
      <c r="R48" s="2">
        <v>3504</v>
      </c>
      <c r="S48" s="2">
        <v>22326</v>
      </c>
      <c r="T48" s="2">
        <v>533</v>
      </c>
      <c r="U48" s="2">
        <v>59.22</v>
      </c>
      <c r="V48" s="2">
        <v>5.42</v>
      </c>
      <c r="W48" s="2">
        <v>34.54</v>
      </c>
      <c r="X48" s="2">
        <v>0.82</v>
      </c>
    </row>
    <row r="49" spans="2:24" x14ac:dyDescent="0.55000000000000004">
      <c r="B49" s="2">
        <v>44</v>
      </c>
      <c r="C49" s="2" t="s">
        <v>14</v>
      </c>
      <c r="D49" s="5">
        <v>30985</v>
      </c>
      <c r="E49" s="5">
        <v>19598</v>
      </c>
      <c r="F49" s="5">
        <v>160</v>
      </c>
      <c r="G49" s="5">
        <v>11010</v>
      </c>
      <c r="H49" s="5">
        <v>217</v>
      </c>
      <c r="I49" s="5">
        <v>63.25</v>
      </c>
      <c r="J49" s="5">
        <v>0.52</v>
      </c>
      <c r="K49" s="5">
        <v>35.53</v>
      </c>
      <c r="L49" s="5">
        <v>0.7</v>
      </c>
      <c r="N49" s="2">
        <v>44</v>
      </c>
      <c r="O49" s="2" t="s">
        <v>14</v>
      </c>
      <c r="P49" s="2">
        <v>62713</v>
      </c>
      <c r="Q49" s="2">
        <v>39196</v>
      </c>
      <c r="R49" s="2">
        <v>1280</v>
      </c>
      <c r="S49" s="2">
        <v>22020</v>
      </c>
      <c r="T49" s="2">
        <v>217</v>
      </c>
      <c r="U49" s="2">
        <v>62.5</v>
      </c>
      <c r="V49" s="2">
        <v>2.04</v>
      </c>
      <c r="W49" s="2">
        <v>35.11</v>
      </c>
      <c r="X49" s="2">
        <v>0.35</v>
      </c>
    </row>
    <row r="50" spans="2:24" x14ac:dyDescent="0.55000000000000004">
      <c r="B50" s="2">
        <v>45</v>
      </c>
      <c r="C50" s="2" t="s">
        <v>14</v>
      </c>
      <c r="D50" s="5">
        <v>31240</v>
      </c>
      <c r="E50" s="5">
        <v>19097</v>
      </c>
      <c r="F50" s="5">
        <v>355</v>
      </c>
      <c r="G50" s="5">
        <v>11155</v>
      </c>
      <c r="H50" s="5">
        <v>633</v>
      </c>
      <c r="I50" s="5">
        <v>61.13</v>
      </c>
      <c r="J50" s="5">
        <v>1.1399999999999999</v>
      </c>
      <c r="K50" s="5">
        <v>35.71</v>
      </c>
      <c r="L50" s="5">
        <v>2.0299999999999998</v>
      </c>
      <c r="N50" s="2">
        <v>45</v>
      </c>
      <c r="O50" s="2" t="s">
        <v>14</v>
      </c>
      <c r="P50" s="2">
        <v>63977</v>
      </c>
      <c r="Q50" s="2">
        <v>38194</v>
      </c>
      <c r="R50" s="2">
        <v>2840</v>
      </c>
      <c r="S50" s="2">
        <v>22310</v>
      </c>
      <c r="T50" s="2">
        <v>633</v>
      </c>
      <c r="U50" s="2">
        <v>59.7</v>
      </c>
      <c r="V50" s="2">
        <v>4.4400000000000004</v>
      </c>
      <c r="W50" s="2">
        <v>34.869999999999997</v>
      </c>
      <c r="X50" s="2">
        <v>0.99</v>
      </c>
    </row>
    <row r="51" spans="2:24" x14ac:dyDescent="0.55000000000000004">
      <c r="B51" s="2">
        <v>46</v>
      </c>
      <c r="C51" s="2" t="s">
        <v>14</v>
      </c>
      <c r="D51" s="5">
        <v>31318</v>
      </c>
      <c r="E51" s="5">
        <v>19608</v>
      </c>
      <c r="F51" s="5">
        <v>103</v>
      </c>
      <c r="G51" s="5">
        <v>11000</v>
      </c>
      <c r="H51" s="5">
        <v>607</v>
      </c>
      <c r="I51" s="5">
        <v>62.61</v>
      </c>
      <c r="J51" s="5">
        <v>0.33</v>
      </c>
      <c r="K51" s="5">
        <v>35.119999999999997</v>
      </c>
      <c r="L51" s="5">
        <v>1.94</v>
      </c>
      <c r="N51" s="2">
        <v>46</v>
      </c>
      <c r="O51" s="2" t="s">
        <v>14</v>
      </c>
      <c r="P51" s="2">
        <v>62647</v>
      </c>
      <c r="Q51" s="2">
        <v>39216</v>
      </c>
      <c r="R51" s="2">
        <v>824</v>
      </c>
      <c r="S51" s="2">
        <v>22000</v>
      </c>
      <c r="T51" s="2">
        <v>607</v>
      </c>
      <c r="U51" s="2">
        <v>62.6</v>
      </c>
      <c r="V51" s="2">
        <v>1.32</v>
      </c>
      <c r="W51" s="2">
        <v>35.119999999999997</v>
      </c>
      <c r="X51" s="2">
        <v>0.97</v>
      </c>
    </row>
    <row r="52" spans="2:24" x14ac:dyDescent="0.55000000000000004">
      <c r="B52" s="2">
        <v>47</v>
      </c>
      <c r="C52" s="2" t="s">
        <v>14</v>
      </c>
      <c r="D52" s="5">
        <v>31088</v>
      </c>
      <c r="E52" s="5">
        <v>19464</v>
      </c>
      <c r="F52" s="5">
        <v>285</v>
      </c>
      <c r="G52" s="5">
        <v>10967</v>
      </c>
      <c r="H52" s="5">
        <v>372</v>
      </c>
      <c r="I52" s="5">
        <v>62.61</v>
      </c>
      <c r="J52" s="5">
        <v>0.92</v>
      </c>
      <c r="K52" s="5">
        <v>35.28</v>
      </c>
      <c r="L52" s="5">
        <v>1.2</v>
      </c>
      <c r="N52" s="2">
        <v>47</v>
      </c>
      <c r="O52" s="2" t="s">
        <v>14</v>
      </c>
      <c r="P52" s="2">
        <v>63514</v>
      </c>
      <c r="Q52" s="2">
        <v>38928</v>
      </c>
      <c r="R52" s="2">
        <v>2280</v>
      </c>
      <c r="S52" s="2">
        <v>21934</v>
      </c>
      <c r="T52" s="2">
        <v>372</v>
      </c>
      <c r="U52" s="2">
        <v>61.29</v>
      </c>
      <c r="V52" s="2">
        <v>3.59</v>
      </c>
      <c r="W52" s="2">
        <v>34.53</v>
      </c>
      <c r="X52" s="2">
        <v>0.59</v>
      </c>
    </row>
    <row r="53" spans="2:24" x14ac:dyDescent="0.55000000000000004">
      <c r="B53" s="2">
        <v>48</v>
      </c>
      <c r="C53" s="2" t="s">
        <v>14</v>
      </c>
      <c r="D53" s="5">
        <v>31250</v>
      </c>
      <c r="E53" s="5">
        <v>19300</v>
      </c>
      <c r="F53" s="5">
        <v>148</v>
      </c>
      <c r="G53" s="5">
        <v>10923</v>
      </c>
      <c r="H53" s="5">
        <v>879</v>
      </c>
      <c r="I53" s="5">
        <v>61.76</v>
      </c>
      <c r="J53" s="5">
        <v>0.47</v>
      </c>
      <c r="K53" s="5">
        <v>34.950000000000003</v>
      </c>
      <c r="L53" s="5">
        <v>2.81</v>
      </c>
      <c r="N53" s="2">
        <v>48</v>
      </c>
      <c r="O53" s="2" t="s">
        <v>14</v>
      </c>
      <c r="P53" s="2">
        <v>62509</v>
      </c>
      <c r="Q53" s="2">
        <v>38600</v>
      </c>
      <c r="R53" s="2">
        <v>1184</v>
      </c>
      <c r="S53" s="2">
        <v>21846</v>
      </c>
      <c r="T53" s="2">
        <v>879</v>
      </c>
      <c r="U53" s="2">
        <v>61.75</v>
      </c>
      <c r="V53" s="2">
        <v>1.89</v>
      </c>
      <c r="W53" s="2">
        <v>34.950000000000003</v>
      </c>
      <c r="X53" s="2">
        <v>1.41</v>
      </c>
    </row>
    <row r="54" spans="2:24" x14ac:dyDescent="0.55000000000000004">
      <c r="B54" s="2" t="s">
        <v>0</v>
      </c>
      <c r="C54" s="2" t="s">
        <v>2</v>
      </c>
      <c r="D54" s="2">
        <f>SUM(D6:D53)</f>
        <v>1490547</v>
      </c>
      <c r="E54" s="2">
        <f>SUM(E6:E53)</f>
        <v>926338</v>
      </c>
      <c r="F54" s="2">
        <f>SUM(F6:F53)</f>
        <v>16342</v>
      </c>
      <c r="G54" s="2">
        <f>SUM(G6:G53)</f>
        <v>515186</v>
      </c>
      <c r="H54" s="2">
        <f>SUM(H6:H53)</f>
        <v>32681</v>
      </c>
      <c r="I54" s="2">
        <f>E54/D54*100</f>
        <v>62.147520339848391</v>
      </c>
      <c r="J54" s="2">
        <f>F54/D54*100</f>
        <v>1.0963760283976285</v>
      </c>
      <c r="K54" s="2">
        <f>G54/D54*100</f>
        <v>34.563552843352142</v>
      </c>
      <c r="L54" s="2">
        <f>H54/D54*100</f>
        <v>2.1925507884018418</v>
      </c>
      <c r="N54" s="2" t="s">
        <v>0</v>
      </c>
      <c r="O54" s="2" t="s">
        <v>2</v>
      </c>
      <c r="P54" s="2">
        <f>SUM(P6:P53)</f>
        <v>3046465</v>
      </c>
      <c r="Q54" s="2">
        <f>SUM(Q6:Q53)</f>
        <v>1852676</v>
      </c>
      <c r="R54" s="2">
        <f>SUM(R6:R53)</f>
        <v>130736</v>
      </c>
      <c r="S54" s="2">
        <f>SUM(S6:S53)</f>
        <v>1030372</v>
      </c>
      <c r="T54" s="2">
        <f>SUM(T6:T53)</f>
        <v>32681</v>
      </c>
      <c r="U54" s="2">
        <f>Q54/P54*100</f>
        <v>60.813959786178408</v>
      </c>
      <c r="V54" s="2">
        <f>R54/P54*100</f>
        <v>4.2914000324966803</v>
      </c>
      <c r="W54" s="2">
        <f>S54/P54*100</f>
        <v>33.821888647990377</v>
      </c>
      <c r="X54" s="2">
        <f>T54/P54*100</f>
        <v>1.0727515333345368</v>
      </c>
    </row>
    <row r="58" spans="2:24" x14ac:dyDescent="0.55000000000000004">
      <c r="B58" s="8" t="s">
        <v>17</v>
      </c>
      <c r="C58" s="8"/>
      <c r="D58" s="8"/>
      <c r="E58" s="8"/>
      <c r="F58" s="8"/>
      <c r="G58" s="8"/>
      <c r="H58" s="8"/>
      <c r="I58" s="8"/>
      <c r="J58" s="8"/>
      <c r="K58" s="8"/>
      <c r="L58" s="8"/>
      <c r="N58" s="8" t="s">
        <v>19</v>
      </c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2:24" x14ac:dyDescent="0.55000000000000004">
      <c r="B59" s="8" t="s">
        <v>18</v>
      </c>
      <c r="C59" s="8"/>
      <c r="D59" s="8"/>
      <c r="E59" s="8"/>
      <c r="F59" s="8"/>
      <c r="G59" s="8"/>
      <c r="H59" s="8"/>
      <c r="I59" s="8"/>
      <c r="J59" s="8"/>
      <c r="K59" s="8"/>
      <c r="L59" s="8"/>
      <c r="N59" s="8" t="s">
        <v>20</v>
      </c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2:24" x14ac:dyDescent="0.55000000000000004">
      <c r="B60" s="8" t="s">
        <v>16</v>
      </c>
      <c r="C60" s="8"/>
      <c r="D60" s="8"/>
      <c r="E60" s="8"/>
      <c r="F60" s="8"/>
      <c r="G60" s="8"/>
      <c r="H60" s="8"/>
      <c r="I60" s="8"/>
      <c r="J60" s="8"/>
      <c r="K60" s="8"/>
      <c r="L60" s="8"/>
      <c r="N60" s="8" t="s">
        <v>21</v>
      </c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24" x14ac:dyDescent="0.55000000000000004">
      <c r="B61" s="8" t="s">
        <v>15</v>
      </c>
      <c r="C61" s="8"/>
      <c r="D61" s="8"/>
      <c r="E61" s="8"/>
      <c r="F61" s="8"/>
      <c r="G61" s="8"/>
      <c r="H61" s="8"/>
      <c r="I61" s="8"/>
      <c r="J61" s="8"/>
      <c r="K61" s="8"/>
      <c r="L61" s="8"/>
      <c r="N61" s="8" t="s">
        <v>22</v>
      </c>
      <c r="O61" s="8"/>
      <c r="P61" s="8"/>
      <c r="Q61" s="8"/>
      <c r="R61" s="8"/>
      <c r="S61" s="8"/>
      <c r="T61" s="8"/>
      <c r="U61" s="8"/>
      <c r="V61" s="8"/>
      <c r="W61" s="8"/>
      <c r="X61" s="8"/>
    </row>
  </sheetData>
  <mergeCells count="20">
    <mergeCell ref="N2:X2"/>
    <mergeCell ref="B2:L2"/>
    <mergeCell ref="B4:B5"/>
    <mergeCell ref="E4:H4"/>
    <mergeCell ref="D4:D5"/>
    <mergeCell ref="C4:C5"/>
    <mergeCell ref="U4:X4"/>
    <mergeCell ref="B61:L61"/>
    <mergeCell ref="B60:L60"/>
    <mergeCell ref="B59:L59"/>
    <mergeCell ref="B58:L58"/>
    <mergeCell ref="N58:X58"/>
    <mergeCell ref="N59:X59"/>
    <mergeCell ref="N60:X60"/>
    <mergeCell ref="N61:X61"/>
    <mergeCell ref="N4:N5"/>
    <mergeCell ref="O4:O5"/>
    <mergeCell ref="P4:P5"/>
    <mergeCell ref="Q4:T4"/>
    <mergeCell ref="I4:L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2D13-4E45-44BF-BC67-AAD0B73FF64C}">
  <dimension ref="B2:X62"/>
  <sheetViews>
    <sheetView tabSelected="1" topLeftCell="A2" zoomScale="70" zoomScaleNormal="70" workbookViewId="0">
      <selection activeCell="N23" sqref="N23"/>
    </sheetView>
  </sheetViews>
  <sheetFormatPr defaultRowHeight="17.600000000000001" x14ac:dyDescent="0.55000000000000004"/>
  <cols>
    <col min="1" max="1" width="9.140625" style="1"/>
    <col min="2" max="2" width="7.5" style="1" bestFit="1" customWidth="1"/>
    <col min="3" max="3" width="5.35546875" style="1" bestFit="1" customWidth="1"/>
    <col min="4" max="5" width="11.7109375" style="1" bestFit="1" customWidth="1"/>
    <col min="6" max="6" width="9.5703125" style="1" bestFit="1" customWidth="1"/>
    <col min="7" max="7" width="10.5703125" style="1" bestFit="1" customWidth="1"/>
    <col min="8" max="8" width="9.5703125" style="1" bestFit="1" customWidth="1"/>
    <col min="9" max="12" width="12.85546875" style="3" bestFit="1" customWidth="1"/>
    <col min="13" max="13" width="9.140625" style="3" customWidth="1"/>
    <col min="14" max="14" width="7.5" style="1" bestFit="1" customWidth="1"/>
    <col min="15" max="15" width="5.35546875" style="1" bestFit="1" customWidth="1"/>
    <col min="16" max="17" width="9.5703125" style="1" bestFit="1" customWidth="1"/>
    <col min="18" max="18" width="8.2109375" style="1" bestFit="1" customWidth="1"/>
    <col min="19" max="19" width="7.92578125" style="1" bestFit="1" customWidth="1"/>
    <col min="20" max="20" width="7.5" style="1" bestFit="1" customWidth="1"/>
    <col min="21" max="21" width="7.640625" style="3" bestFit="1" customWidth="1"/>
    <col min="22" max="22" width="8.2109375" style="3" bestFit="1" customWidth="1"/>
    <col min="23" max="23" width="7.92578125" style="3" bestFit="1" customWidth="1"/>
    <col min="24" max="24" width="9.140625" style="3"/>
    <col min="25" max="16384" width="9.140625" style="1"/>
  </cols>
  <sheetData>
    <row r="2" spans="2:24" x14ac:dyDescent="0.55000000000000004">
      <c r="B2" s="9" t="s">
        <v>24</v>
      </c>
      <c r="C2" s="9"/>
      <c r="D2" s="9"/>
      <c r="E2" s="9"/>
      <c r="F2" s="9"/>
      <c r="G2" s="9"/>
      <c r="H2" s="9"/>
      <c r="I2" s="9"/>
      <c r="J2" s="9"/>
      <c r="K2" s="9"/>
      <c r="L2" s="9"/>
      <c r="N2" s="9" t="s">
        <v>26</v>
      </c>
      <c r="O2" s="9"/>
      <c r="P2" s="9"/>
      <c r="Q2" s="9"/>
      <c r="R2" s="9"/>
      <c r="S2" s="9"/>
      <c r="T2" s="9"/>
      <c r="U2" s="9"/>
      <c r="V2" s="9"/>
      <c r="W2" s="9"/>
      <c r="X2" s="9"/>
    </row>
    <row r="4" spans="2:24" x14ac:dyDescent="0.55000000000000004">
      <c r="B4" s="8" t="s">
        <v>3</v>
      </c>
      <c r="C4" s="8" t="s">
        <v>10</v>
      </c>
      <c r="D4" s="8" t="s">
        <v>8</v>
      </c>
      <c r="E4" s="8" t="s">
        <v>4</v>
      </c>
      <c r="F4" s="8"/>
      <c r="G4" s="8"/>
      <c r="H4" s="8"/>
      <c r="I4" s="8" t="s">
        <v>1</v>
      </c>
      <c r="J4" s="8"/>
      <c r="K4" s="8"/>
      <c r="L4" s="8"/>
      <c r="N4" s="8" t="s">
        <v>3</v>
      </c>
      <c r="O4" s="8" t="s">
        <v>10</v>
      </c>
      <c r="P4" s="8" t="s">
        <v>8</v>
      </c>
      <c r="Q4" s="8" t="s">
        <v>4</v>
      </c>
      <c r="R4" s="8"/>
      <c r="S4" s="8"/>
      <c r="T4" s="8"/>
      <c r="U4" s="8" t="s">
        <v>1</v>
      </c>
      <c r="V4" s="8"/>
      <c r="W4" s="8"/>
      <c r="X4" s="8"/>
    </row>
    <row r="5" spans="2:24" x14ac:dyDescent="0.55000000000000004">
      <c r="B5" s="8"/>
      <c r="C5" s="8"/>
      <c r="D5" s="8"/>
      <c r="E5" s="2" t="s">
        <v>6</v>
      </c>
      <c r="F5" s="2" t="s">
        <v>5</v>
      </c>
      <c r="G5" s="2" t="s">
        <v>7</v>
      </c>
      <c r="H5" s="2" t="s">
        <v>9</v>
      </c>
      <c r="I5" s="2" t="s">
        <v>6</v>
      </c>
      <c r="J5" s="2" t="s">
        <v>5</v>
      </c>
      <c r="K5" s="2" t="s">
        <v>7</v>
      </c>
      <c r="L5" s="2" t="s">
        <v>9</v>
      </c>
      <c r="N5" s="8"/>
      <c r="O5" s="8"/>
      <c r="P5" s="8"/>
      <c r="Q5" s="2" t="s">
        <v>6</v>
      </c>
      <c r="R5" s="2" t="s">
        <v>5</v>
      </c>
      <c r="S5" s="2" t="s">
        <v>7</v>
      </c>
      <c r="T5" s="2" t="s">
        <v>9</v>
      </c>
      <c r="U5" s="2" t="s">
        <v>6</v>
      </c>
      <c r="V5" s="2" t="s">
        <v>5</v>
      </c>
      <c r="W5" s="2" t="s">
        <v>7</v>
      </c>
      <c r="X5" s="2" t="s">
        <v>9</v>
      </c>
    </row>
    <row r="6" spans="2:24" x14ac:dyDescent="0.55000000000000004">
      <c r="B6" s="2">
        <v>1</v>
      </c>
      <c r="C6" s="7" t="s">
        <v>11</v>
      </c>
      <c r="D6" s="7">
        <v>61796586</v>
      </c>
      <c r="E6" s="7">
        <v>40533782</v>
      </c>
      <c r="F6" s="7">
        <v>934705</v>
      </c>
      <c r="G6" s="7">
        <v>19980939</v>
      </c>
      <c r="H6" s="7">
        <v>347160</v>
      </c>
      <c r="I6" s="7">
        <v>65.59</v>
      </c>
      <c r="J6" s="7">
        <v>1.51</v>
      </c>
      <c r="K6" s="7">
        <v>32.33</v>
      </c>
      <c r="L6" s="7">
        <v>0.56000000000000005</v>
      </c>
      <c r="N6" s="2">
        <v>1</v>
      </c>
      <c r="O6" s="2" t="s">
        <v>11</v>
      </c>
      <c r="P6" s="2">
        <v>954797</v>
      </c>
      <c r="Q6" s="2">
        <v>578108</v>
      </c>
      <c r="R6" s="2">
        <v>90904</v>
      </c>
      <c r="S6" s="2">
        <v>278416</v>
      </c>
      <c r="T6" s="2">
        <v>7369</v>
      </c>
      <c r="U6" s="2">
        <v>60.55</v>
      </c>
      <c r="V6" s="2">
        <v>9.52</v>
      </c>
      <c r="W6" s="2">
        <v>29.16</v>
      </c>
      <c r="X6" s="2">
        <v>0.77</v>
      </c>
    </row>
    <row r="7" spans="2:24" x14ac:dyDescent="0.55000000000000004">
      <c r="B7" s="2">
        <v>2</v>
      </c>
      <c r="C7" s="7" t="s">
        <v>11</v>
      </c>
      <c r="D7" s="7">
        <v>48892905</v>
      </c>
      <c r="E7" s="7">
        <v>31922606</v>
      </c>
      <c r="F7" s="7">
        <v>523866</v>
      </c>
      <c r="G7" s="7">
        <v>16045641</v>
      </c>
      <c r="H7" s="7">
        <v>400792</v>
      </c>
      <c r="I7" s="7">
        <v>65.290000000000006</v>
      </c>
      <c r="J7" s="7">
        <v>1.07</v>
      </c>
      <c r="K7" s="7">
        <v>32.82</v>
      </c>
      <c r="L7" s="7">
        <v>0.82</v>
      </c>
      <c r="N7" s="2">
        <v>2</v>
      </c>
      <c r="O7" s="2" t="s">
        <v>11</v>
      </c>
      <c r="P7" s="2">
        <v>582988</v>
      </c>
      <c r="Q7" s="2">
        <v>367140</v>
      </c>
      <c r="R7" s="2">
        <v>35080</v>
      </c>
      <c r="S7" s="2">
        <v>176104</v>
      </c>
      <c r="T7" s="2">
        <v>4664</v>
      </c>
      <c r="U7" s="2">
        <v>62.98</v>
      </c>
      <c r="V7" s="2">
        <v>6.02</v>
      </c>
      <c r="W7" s="2">
        <v>30.21</v>
      </c>
      <c r="X7" s="2">
        <v>0.8</v>
      </c>
    </row>
    <row r="8" spans="2:24" x14ac:dyDescent="0.55000000000000004">
      <c r="B8" s="2">
        <v>3</v>
      </c>
      <c r="C8" s="7" t="s">
        <v>11</v>
      </c>
      <c r="D8" s="7">
        <v>69552708</v>
      </c>
      <c r="E8" s="7">
        <v>44123226</v>
      </c>
      <c r="F8" s="7">
        <v>1179367</v>
      </c>
      <c r="G8" s="7">
        <v>23192704</v>
      </c>
      <c r="H8" s="7">
        <v>1057411</v>
      </c>
      <c r="I8" s="7">
        <v>63.44</v>
      </c>
      <c r="J8" s="7">
        <v>1.7</v>
      </c>
      <c r="K8" s="7">
        <v>33.35</v>
      </c>
      <c r="L8" s="7">
        <v>1.52</v>
      </c>
      <c r="N8" s="2">
        <v>3</v>
      </c>
      <c r="O8" s="2" t="s">
        <v>11</v>
      </c>
      <c r="P8" s="2">
        <v>639935</v>
      </c>
      <c r="Q8" s="2">
        <v>378618</v>
      </c>
      <c r="R8" s="2">
        <v>53080</v>
      </c>
      <c r="S8" s="2">
        <v>192696</v>
      </c>
      <c r="T8" s="2">
        <v>15541</v>
      </c>
      <c r="U8" s="2">
        <v>59.17</v>
      </c>
      <c r="V8" s="2">
        <v>8.2899999999999991</v>
      </c>
      <c r="W8" s="2">
        <v>30.11</v>
      </c>
      <c r="X8" s="2">
        <v>2.4300000000000002</v>
      </c>
    </row>
    <row r="9" spans="2:24" x14ac:dyDescent="0.55000000000000004">
      <c r="B9" s="2">
        <v>4</v>
      </c>
      <c r="C9" s="7" t="s">
        <v>11</v>
      </c>
      <c r="D9" s="7">
        <v>72934994</v>
      </c>
      <c r="E9" s="7">
        <v>46069672</v>
      </c>
      <c r="F9" s="7">
        <v>1654839</v>
      </c>
      <c r="G9" s="7">
        <v>24314095</v>
      </c>
      <c r="H9" s="7">
        <v>896388</v>
      </c>
      <c r="I9" s="7">
        <v>63.17</v>
      </c>
      <c r="J9" s="7">
        <v>2.27</v>
      </c>
      <c r="K9" s="7">
        <v>33.340000000000003</v>
      </c>
      <c r="L9" s="7">
        <v>1.23</v>
      </c>
      <c r="N9" s="2">
        <v>4</v>
      </c>
      <c r="O9" s="2" t="s">
        <v>11</v>
      </c>
      <c r="P9" s="2">
        <v>878266</v>
      </c>
      <c r="Q9" s="2">
        <v>521816</v>
      </c>
      <c r="R9" s="2">
        <v>93936</v>
      </c>
      <c r="S9" s="2">
        <v>256582</v>
      </c>
      <c r="T9" s="2">
        <v>5932</v>
      </c>
      <c r="U9" s="2">
        <v>59.41</v>
      </c>
      <c r="V9" s="2">
        <v>10.7</v>
      </c>
      <c r="W9" s="2">
        <v>29.21</v>
      </c>
      <c r="X9" s="2">
        <v>0.68</v>
      </c>
    </row>
    <row r="10" spans="2:24" x14ac:dyDescent="0.55000000000000004">
      <c r="B10" s="2">
        <v>5</v>
      </c>
      <c r="C10" s="7" t="s">
        <v>11</v>
      </c>
      <c r="D10" s="7">
        <v>54615467</v>
      </c>
      <c r="E10" s="7">
        <v>35536320</v>
      </c>
      <c r="F10" s="7">
        <v>914950</v>
      </c>
      <c r="G10" s="7">
        <v>17857556</v>
      </c>
      <c r="H10" s="7">
        <v>306641</v>
      </c>
      <c r="I10" s="7">
        <v>65.069999999999993</v>
      </c>
      <c r="J10" s="7">
        <v>1.68</v>
      </c>
      <c r="K10" s="7">
        <v>32.700000000000003</v>
      </c>
      <c r="L10" s="7">
        <v>0.56000000000000005</v>
      </c>
      <c r="N10" s="2">
        <v>5</v>
      </c>
      <c r="O10" s="2" t="s">
        <v>11</v>
      </c>
      <c r="P10" s="2">
        <v>777564</v>
      </c>
      <c r="Q10" s="2">
        <v>483946</v>
      </c>
      <c r="R10" s="2">
        <v>55888</v>
      </c>
      <c r="S10" s="2">
        <v>231768</v>
      </c>
      <c r="T10" s="2">
        <v>5962</v>
      </c>
      <c r="U10" s="2">
        <v>62.24</v>
      </c>
      <c r="V10" s="2">
        <v>7.19</v>
      </c>
      <c r="W10" s="2">
        <v>29.81</v>
      </c>
      <c r="X10" s="2">
        <v>0.77</v>
      </c>
    </row>
    <row r="11" spans="2:24" x14ac:dyDescent="0.55000000000000004">
      <c r="B11" s="2">
        <v>6</v>
      </c>
      <c r="C11" s="7" t="s">
        <v>11</v>
      </c>
      <c r="D11" s="7">
        <v>46108478</v>
      </c>
      <c r="E11" s="7">
        <v>29877088</v>
      </c>
      <c r="F11" s="7">
        <v>552763</v>
      </c>
      <c r="G11" s="7">
        <v>15660892</v>
      </c>
      <c r="H11" s="7">
        <v>17735</v>
      </c>
      <c r="I11" s="7">
        <v>64.8</v>
      </c>
      <c r="J11" s="7">
        <v>1.2</v>
      </c>
      <c r="K11" s="7">
        <v>33.97</v>
      </c>
      <c r="L11" s="7">
        <v>0.04</v>
      </c>
      <c r="N11" s="2">
        <v>6</v>
      </c>
      <c r="O11" s="2" t="s">
        <v>11</v>
      </c>
      <c r="P11" s="2">
        <v>549969</v>
      </c>
      <c r="Q11" s="2">
        <v>321168</v>
      </c>
      <c r="R11" s="2">
        <v>36120</v>
      </c>
      <c r="S11" s="2">
        <v>188968</v>
      </c>
      <c r="T11" s="2">
        <v>3713</v>
      </c>
      <c r="U11" s="2">
        <v>58.4</v>
      </c>
      <c r="V11" s="2">
        <v>6.57</v>
      </c>
      <c r="W11" s="2">
        <v>34.36</v>
      </c>
      <c r="X11" s="2">
        <v>0.68</v>
      </c>
    </row>
    <row r="12" spans="2:24" x14ac:dyDescent="0.55000000000000004">
      <c r="B12" s="2">
        <v>7</v>
      </c>
      <c r="C12" s="7" t="s">
        <v>11</v>
      </c>
      <c r="D12" s="7">
        <v>40615612</v>
      </c>
      <c r="E12" s="7">
        <v>25914659</v>
      </c>
      <c r="F12" s="7">
        <v>333564</v>
      </c>
      <c r="G12" s="7">
        <v>14361100</v>
      </c>
      <c r="H12" s="7">
        <v>6289</v>
      </c>
      <c r="I12" s="7">
        <v>63.8</v>
      </c>
      <c r="J12" s="7">
        <v>0.82</v>
      </c>
      <c r="K12" s="7">
        <v>35.36</v>
      </c>
      <c r="L12" s="7">
        <v>0.02</v>
      </c>
      <c r="N12" s="2">
        <v>7</v>
      </c>
      <c r="O12" s="2" t="s">
        <v>11</v>
      </c>
      <c r="P12" s="2">
        <v>429067</v>
      </c>
      <c r="Q12" s="2">
        <v>260002</v>
      </c>
      <c r="R12" s="2">
        <v>21736</v>
      </c>
      <c r="S12" s="2">
        <v>145970</v>
      </c>
      <c r="T12" s="2">
        <v>1359</v>
      </c>
      <c r="U12" s="2">
        <v>60.6</v>
      </c>
      <c r="V12" s="2">
        <v>5.07</v>
      </c>
      <c r="W12" s="2">
        <v>34.020000000000003</v>
      </c>
      <c r="X12" s="2">
        <v>0.32</v>
      </c>
    </row>
    <row r="13" spans="2:24" x14ac:dyDescent="0.55000000000000004">
      <c r="B13" s="2">
        <v>8</v>
      </c>
      <c r="C13" s="7" t="s">
        <v>11</v>
      </c>
      <c r="D13" s="7">
        <v>61458160</v>
      </c>
      <c r="E13" s="7">
        <v>38638851</v>
      </c>
      <c r="F13" s="7">
        <v>663374</v>
      </c>
      <c r="G13" s="7">
        <v>21502973</v>
      </c>
      <c r="H13" s="7">
        <v>652962</v>
      </c>
      <c r="I13" s="7">
        <v>62.87</v>
      </c>
      <c r="J13" s="7">
        <v>1.08</v>
      </c>
      <c r="K13" s="7">
        <v>34.99</v>
      </c>
      <c r="L13" s="7">
        <v>1.06</v>
      </c>
      <c r="N13" s="2">
        <v>8</v>
      </c>
      <c r="O13" s="2" t="s">
        <v>11</v>
      </c>
      <c r="P13" s="2">
        <v>384498</v>
      </c>
      <c r="Q13" s="2">
        <v>225072</v>
      </c>
      <c r="R13" s="2">
        <v>18192</v>
      </c>
      <c r="S13" s="2">
        <v>132226</v>
      </c>
      <c r="T13" s="2">
        <v>9008</v>
      </c>
      <c r="U13" s="2">
        <v>58.54</v>
      </c>
      <c r="V13" s="2">
        <v>4.7300000000000004</v>
      </c>
      <c r="W13" s="2">
        <v>34.39</v>
      </c>
      <c r="X13" s="2">
        <v>2.34</v>
      </c>
    </row>
    <row r="14" spans="2:24" x14ac:dyDescent="0.55000000000000004">
      <c r="B14" s="2">
        <v>9</v>
      </c>
      <c r="C14" s="7" t="s">
        <v>11</v>
      </c>
      <c r="D14" s="7">
        <v>57096267</v>
      </c>
      <c r="E14" s="7">
        <v>36737873</v>
      </c>
      <c r="F14" s="7">
        <v>830684</v>
      </c>
      <c r="G14" s="7">
        <v>19433720</v>
      </c>
      <c r="H14" s="7">
        <v>93990</v>
      </c>
      <c r="I14" s="7">
        <v>64.34</v>
      </c>
      <c r="J14" s="7">
        <v>1.45</v>
      </c>
      <c r="K14" s="7">
        <v>34.04</v>
      </c>
      <c r="L14" s="7">
        <v>0.16</v>
      </c>
      <c r="N14" s="2">
        <v>9</v>
      </c>
      <c r="O14" s="2" t="s">
        <v>11</v>
      </c>
      <c r="P14" s="2">
        <v>762434</v>
      </c>
      <c r="Q14" s="2">
        <v>463728</v>
      </c>
      <c r="R14" s="2">
        <v>61712</v>
      </c>
      <c r="S14" s="2">
        <v>234524</v>
      </c>
      <c r="T14" s="2">
        <v>2470</v>
      </c>
      <c r="U14" s="2">
        <v>60.82</v>
      </c>
      <c r="V14" s="2">
        <v>8.09</v>
      </c>
      <c r="W14" s="2">
        <v>30.76</v>
      </c>
      <c r="X14" s="2">
        <v>0.32</v>
      </c>
    </row>
    <row r="15" spans="2:24" x14ac:dyDescent="0.55000000000000004">
      <c r="B15" s="2">
        <v>10</v>
      </c>
      <c r="C15" s="7" t="s">
        <v>11</v>
      </c>
      <c r="D15" s="7">
        <v>60038803</v>
      </c>
      <c r="E15" s="7">
        <v>37122727</v>
      </c>
      <c r="F15" s="7">
        <v>949663</v>
      </c>
      <c r="G15" s="7">
        <v>21749996</v>
      </c>
      <c r="H15" s="7">
        <v>216417</v>
      </c>
      <c r="I15" s="7">
        <v>61.83</v>
      </c>
      <c r="J15" s="7">
        <v>1.58</v>
      </c>
      <c r="K15" s="7">
        <v>36.229999999999997</v>
      </c>
      <c r="L15" s="7">
        <v>0.36</v>
      </c>
      <c r="N15" s="2">
        <v>10</v>
      </c>
      <c r="O15" s="2" t="s">
        <v>11</v>
      </c>
      <c r="P15" s="2">
        <v>687192</v>
      </c>
      <c r="Q15" s="2">
        <v>412948</v>
      </c>
      <c r="R15" s="2">
        <v>56032</v>
      </c>
      <c r="S15" s="2">
        <v>209646</v>
      </c>
      <c r="T15" s="2">
        <v>8566</v>
      </c>
      <c r="U15" s="2">
        <v>60.09</v>
      </c>
      <c r="V15" s="2">
        <v>8.15</v>
      </c>
      <c r="W15" s="2">
        <v>30.51</v>
      </c>
      <c r="X15" s="2">
        <v>1.25</v>
      </c>
    </row>
    <row r="16" spans="2:24" x14ac:dyDescent="0.55000000000000004">
      <c r="B16" s="2">
        <v>11</v>
      </c>
      <c r="C16" s="7" t="s">
        <v>11</v>
      </c>
      <c r="D16" s="7">
        <v>58235813</v>
      </c>
      <c r="E16" s="7">
        <v>38616584</v>
      </c>
      <c r="F16" s="7">
        <v>1200599</v>
      </c>
      <c r="G16" s="7">
        <v>18224200</v>
      </c>
      <c r="H16" s="7">
        <v>194430</v>
      </c>
      <c r="I16" s="7">
        <v>66.31</v>
      </c>
      <c r="J16" s="7">
        <v>2.06</v>
      </c>
      <c r="K16" s="7">
        <v>31.29</v>
      </c>
      <c r="L16" s="7">
        <v>0.33</v>
      </c>
      <c r="N16" s="2">
        <v>11</v>
      </c>
      <c r="O16" s="2" t="s">
        <v>11</v>
      </c>
      <c r="P16" s="2">
        <v>680480</v>
      </c>
      <c r="Q16" s="2">
        <v>407338</v>
      </c>
      <c r="R16" s="2">
        <v>52976</v>
      </c>
      <c r="S16" s="2">
        <v>211658</v>
      </c>
      <c r="T16" s="2">
        <v>8508</v>
      </c>
      <c r="U16" s="2">
        <v>59.86</v>
      </c>
      <c r="V16" s="2">
        <v>7.79</v>
      </c>
      <c r="W16" s="2">
        <v>31.1</v>
      </c>
      <c r="X16" s="2">
        <v>1.25</v>
      </c>
    </row>
    <row r="17" spans="2:24" x14ac:dyDescent="0.55000000000000004">
      <c r="B17" s="2">
        <v>12</v>
      </c>
      <c r="C17" s="7" t="s">
        <v>11</v>
      </c>
      <c r="D17" s="7">
        <v>58859146</v>
      </c>
      <c r="E17" s="7">
        <v>38001357</v>
      </c>
      <c r="F17" s="7">
        <v>901635</v>
      </c>
      <c r="G17" s="7">
        <v>19793806</v>
      </c>
      <c r="H17" s="7">
        <v>162348</v>
      </c>
      <c r="I17" s="7">
        <v>64.56</v>
      </c>
      <c r="J17" s="7">
        <v>1.53</v>
      </c>
      <c r="K17" s="7">
        <v>33.630000000000003</v>
      </c>
      <c r="L17" s="7">
        <v>0.28000000000000003</v>
      </c>
      <c r="N17" s="2">
        <v>12</v>
      </c>
      <c r="O17" s="2" t="s">
        <v>11</v>
      </c>
      <c r="P17" s="2">
        <v>534411</v>
      </c>
      <c r="Q17" s="2">
        <v>316348</v>
      </c>
      <c r="R17" s="2">
        <v>38112</v>
      </c>
      <c r="S17" s="2">
        <v>176716</v>
      </c>
      <c r="T17" s="2">
        <v>3235</v>
      </c>
      <c r="U17" s="2">
        <v>59.2</v>
      </c>
      <c r="V17" s="2">
        <v>7.13</v>
      </c>
      <c r="W17" s="2">
        <v>33.07</v>
      </c>
      <c r="X17" s="2">
        <v>0.61</v>
      </c>
    </row>
    <row r="18" spans="2:24" x14ac:dyDescent="0.55000000000000004">
      <c r="B18" s="2">
        <v>13</v>
      </c>
      <c r="C18" s="7" t="s">
        <v>11</v>
      </c>
      <c r="D18" s="7">
        <v>46508783</v>
      </c>
      <c r="E18" s="7">
        <v>29089795</v>
      </c>
      <c r="F18" s="7">
        <v>541617</v>
      </c>
      <c r="G18" s="7">
        <v>16872302</v>
      </c>
      <c r="H18" s="7">
        <v>5069</v>
      </c>
      <c r="I18" s="7">
        <v>62.55</v>
      </c>
      <c r="J18" s="7">
        <v>1.1599999999999999</v>
      </c>
      <c r="K18" s="7">
        <v>36.28</v>
      </c>
      <c r="L18" s="7">
        <v>0.01</v>
      </c>
      <c r="N18" s="2">
        <v>13</v>
      </c>
      <c r="O18" s="2" t="s">
        <v>11</v>
      </c>
      <c r="P18" s="2">
        <v>606816</v>
      </c>
      <c r="Q18" s="2">
        <v>357620</v>
      </c>
      <c r="R18" s="2">
        <v>43432</v>
      </c>
      <c r="S18" s="2">
        <v>203386</v>
      </c>
      <c r="T18" s="2">
        <v>2378</v>
      </c>
      <c r="U18" s="2">
        <v>58.93</v>
      </c>
      <c r="V18" s="2">
        <v>7.16</v>
      </c>
      <c r="W18" s="2">
        <v>33.520000000000003</v>
      </c>
      <c r="X18" s="2">
        <v>0.39</v>
      </c>
    </row>
    <row r="19" spans="2:24" x14ac:dyDescent="0.55000000000000004">
      <c r="B19" s="2">
        <v>14</v>
      </c>
      <c r="C19" s="7" t="s">
        <v>11</v>
      </c>
      <c r="D19" s="7">
        <v>74275726</v>
      </c>
      <c r="E19" s="7">
        <v>47315278</v>
      </c>
      <c r="F19" s="7">
        <v>1277049</v>
      </c>
      <c r="G19" s="7">
        <v>24240715</v>
      </c>
      <c r="H19" s="7">
        <v>1442684</v>
      </c>
      <c r="I19" s="7">
        <v>63.7</v>
      </c>
      <c r="J19" s="7">
        <v>1.72</v>
      </c>
      <c r="K19" s="7">
        <v>32.64</v>
      </c>
      <c r="L19" s="7">
        <v>1.94</v>
      </c>
      <c r="N19" s="2">
        <v>14</v>
      </c>
      <c r="O19" s="2" t="s">
        <v>11</v>
      </c>
      <c r="P19" s="2">
        <v>630803</v>
      </c>
      <c r="Q19" s="2">
        <v>368448</v>
      </c>
      <c r="R19" s="2">
        <v>44472</v>
      </c>
      <c r="S19" s="2">
        <v>209290</v>
      </c>
      <c r="T19" s="2">
        <v>8593</v>
      </c>
      <c r="U19" s="2">
        <v>58.41</v>
      </c>
      <c r="V19" s="2">
        <v>7.05</v>
      </c>
      <c r="W19" s="2">
        <v>33.18</v>
      </c>
      <c r="X19" s="2">
        <v>1.36</v>
      </c>
    </row>
    <row r="20" spans="2:24" x14ac:dyDescent="0.55000000000000004">
      <c r="B20" s="2">
        <v>15</v>
      </c>
      <c r="C20" s="7" t="s">
        <v>11</v>
      </c>
      <c r="D20" s="7">
        <v>62540348</v>
      </c>
      <c r="E20" s="7">
        <v>41324810</v>
      </c>
      <c r="F20" s="7">
        <v>872280</v>
      </c>
      <c r="G20" s="7">
        <v>19856022</v>
      </c>
      <c r="H20" s="7">
        <v>487236</v>
      </c>
      <c r="I20" s="7">
        <v>66.08</v>
      </c>
      <c r="J20" s="7">
        <v>1.39</v>
      </c>
      <c r="K20" s="7">
        <v>31.75</v>
      </c>
      <c r="L20" s="7">
        <v>0.78</v>
      </c>
      <c r="N20" s="2">
        <v>15</v>
      </c>
      <c r="O20" s="2" t="s">
        <v>11</v>
      </c>
      <c r="P20" s="2">
        <v>392210</v>
      </c>
      <c r="Q20" s="2">
        <v>241752</v>
      </c>
      <c r="R20" s="2">
        <v>22264</v>
      </c>
      <c r="S20" s="2">
        <v>124120</v>
      </c>
      <c r="T20" s="2">
        <v>4074</v>
      </c>
      <c r="U20" s="2">
        <v>61.64</v>
      </c>
      <c r="V20" s="2">
        <v>5.68</v>
      </c>
      <c r="W20" s="2">
        <v>31.65</v>
      </c>
      <c r="X20" s="2">
        <v>1.04</v>
      </c>
    </row>
    <row r="21" spans="2:24" x14ac:dyDescent="0.55000000000000004">
      <c r="B21" s="2">
        <v>16</v>
      </c>
      <c r="C21" s="7" t="s">
        <v>11</v>
      </c>
      <c r="D21" s="7">
        <v>58299256</v>
      </c>
      <c r="E21" s="7">
        <v>35548356</v>
      </c>
      <c r="F21" s="7">
        <v>776139</v>
      </c>
      <c r="G21" s="7">
        <v>20691087</v>
      </c>
      <c r="H21" s="7">
        <v>1283674</v>
      </c>
      <c r="I21" s="7">
        <v>60.98</v>
      </c>
      <c r="J21" s="7">
        <v>1.33</v>
      </c>
      <c r="K21" s="7">
        <v>35.49</v>
      </c>
      <c r="L21" s="7">
        <v>2.2000000000000002</v>
      </c>
      <c r="N21" s="2">
        <v>16</v>
      </c>
      <c r="O21" s="2" t="s">
        <v>11</v>
      </c>
      <c r="P21" s="2">
        <v>563741</v>
      </c>
      <c r="Q21" s="2">
        <v>359112</v>
      </c>
      <c r="R21" s="2">
        <v>32864</v>
      </c>
      <c r="S21" s="2">
        <v>164904</v>
      </c>
      <c r="T21" s="2">
        <v>6861</v>
      </c>
      <c r="U21" s="2">
        <v>63.7</v>
      </c>
      <c r="V21" s="2">
        <v>5.83</v>
      </c>
      <c r="W21" s="2">
        <v>29.25</v>
      </c>
      <c r="X21" s="2">
        <v>1.22</v>
      </c>
    </row>
    <row r="22" spans="2:24" x14ac:dyDescent="0.55000000000000004">
      <c r="B22" s="2">
        <v>17</v>
      </c>
      <c r="C22" s="7" t="s">
        <v>11</v>
      </c>
      <c r="D22" s="7">
        <v>82049866</v>
      </c>
      <c r="E22" s="7">
        <v>51978503</v>
      </c>
      <c r="F22" s="7">
        <v>1167095</v>
      </c>
      <c r="G22" s="7">
        <v>23741041</v>
      </c>
      <c r="H22" s="7">
        <v>5163227</v>
      </c>
      <c r="I22" s="7">
        <v>63.35</v>
      </c>
      <c r="J22" s="7">
        <v>1.42</v>
      </c>
      <c r="K22" s="7">
        <v>28.93</v>
      </c>
      <c r="L22" s="7">
        <v>6.29</v>
      </c>
      <c r="N22" s="2">
        <v>17</v>
      </c>
      <c r="O22" s="2" t="s">
        <v>11</v>
      </c>
      <c r="P22" s="2">
        <v>422411</v>
      </c>
      <c r="Q22" s="2">
        <v>256644</v>
      </c>
      <c r="R22" s="2">
        <v>25712</v>
      </c>
      <c r="S22" s="2">
        <v>124676</v>
      </c>
      <c r="T22" s="2">
        <v>15379</v>
      </c>
      <c r="U22" s="2">
        <v>60.76</v>
      </c>
      <c r="V22" s="2">
        <v>6.09</v>
      </c>
      <c r="W22" s="2">
        <v>29.52</v>
      </c>
      <c r="X22" s="2">
        <v>3.64</v>
      </c>
    </row>
    <row r="23" spans="2:24" x14ac:dyDescent="0.55000000000000004">
      <c r="B23" s="2">
        <v>18</v>
      </c>
      <c r="C23" s="7" t="s">
        <v>11</v>
      </c>
      <c r="D23" s="7">
        <v>47668965</v>
      </c>
      <c r="E23" s="7">
        <v>29518929</v>
      </c>
      <c r="F23" s="7">
        <v>347332</v>
      </c>
      <c r="G23" s="7">
        <v>16834757</v>
      </c>
      <c r="H23" s="7">
        <v>967947</v>
      </c>
      <c r="I23" s="7">
        <v>61.92</v>
      </c>
      <c r="J23" s="7">
        <v>0.73</v>
      </c>
      <c r="K23" s="7">
        <v>35.32</v>
      </c>
      <c r="L23" s="7">
        <v>2.0299999999999998</v>
      </c>
      <c r="N23" s="2">
        <v>18</v>
      </c>
      <c r="O23" s="2" t="s">
        <v>11</v>
      </c>
      <c r="P23" s="2">
        <v>407301</v>
      </c>
      <c r="Q23" s="2">
        <v>253902</v>
      </c>
      <c r="R23" s="2">
        <v>15144</v>
      </c>
      <c r="S23" s="2">
        <v>135238</v>
      </c>
      <c r="T23" s="2">
        <v>3017</v>
      </c>
      <c r="U23" s="2">
        <v>62.34</v>
      </c>
      <c r="V23" s="2">
        <v>3.72</v>
      </c>
      <c r="W23" s="2">
        <v>33.200000000000003</v>
      </c>
      <c r="X23" s="2">
        <v>0.74</v>
      </c>
    </row>
    <row r="24" spans="2:24" x14ac:dyDescent="0.55000000000000004">
      <c r="B24" s="2">
        <v>19</v>
      </c>
      <c r="C24" s="7" t="s">
        <v>11</v>
      </c>
      <c r="D24" s="7">
        <v>50754540</v>
      </c>
      <c r="E24" s="7">
        <v>33443319</v>
      </c>
      <c r="F24" s="7">
        <v>589995</v>
      </c>
      <c r="G24" s="7">
        <v>16718594</v>
      </c>
      <c r="H24" s="7">
        <v>2632</v>
      </c>
      <c r="I24" s="7">
        <v>65.89</v>
      </c>
      <c r="J24" s="7">
        <v>1.1599999999999999</v>
      </c>
      <c r="K24" s="7">
        <v>32.94</v>
      </c>
      <c r="L24" s="7">
        <v>0.01</v>
      </c>
      <c r="N24" s="2">
        <v>19</v>
      </c>
      <c r="O24" s="2" t="s">
        <v>11</v>
      </c>
      <c r="P24" s="2">
        <v>590105</v>
      </c>
      <c r="Q24" s="2">
        <v>374322</v>
      </c>
      <c r="R24" s="2">
        <v>34520</v>
      </c>
      <c r="S24" s="2">
        <v>178868</v>
      </c>
      <c r="T24" s="2">
        <v>2395</v>
      </c>
      <c r="U24" s="2">
        <v>63.43</v>
      </c>
      <c r="V24" s="2">
        <v>5.85</v>
      </c>
      <c r="W24" s="2">
        <v>30.31</v>
      </c>
      <c r="X24" s="2">
        <v>0.41</v>
      </c>
    </row>
    <row r="25" spans="2:24" x14ac:dyDescent="0.55000000000000004">
      <c r="B25" s="2">
        <v>20</v>
      </c>
      <c r="C25" s="7" t="s">
        <v>11</v>
      </c>
      <c r="D25" s="7">
        <v>84662030</v>
      </c>
      <c r="E25" s="7">
        <v>55249806</v>
      </c>
      <c r="F25" s="7">
        <v>2555302</v>
      </c>
      <c r="G25" s="7">
        <v>24774412</v>
      </c>
      <c r="H25" s="7">
        <v>2082510</v>
      </c>
      <c r="I25" s="7">
        <v>65.260000000000005</v>
      </c>
      <c r="J25" s="7">
        <v>3.02</v>
      </c>
      <c r="K25" s="7">
        <v>29.26</v>
      </c>
      <c r="L25" s="7">
        <v>2.46</v>
      </c>
      <c r="N25" s="2">
        <v>20</v>
      </c>
      <c r="O25" s="2" t="s">
        <v>11</v>
      </c>
      <c r="P25" s="2">
        <v>791088</v>
      </c>
      <c r="Q25" s="2">
        <v>444952</v>
      </c>
      <c r="R25" s="2">
        <v>98048</v>
      </c>
      <c r="S25" s="2">
        <v>226972</v>
      </c>
      <c r="T25" s="2">
        <v>21116</v>
      </c>
      <c r="U25" s="2">
        <v>56.25</v>
      </c>
      <c r="V25" s="2">
        <v>12.39</v>
      </c>
      <c r="W25" s="2">
        <v>28.69</v>
      </c>
      <c r="X25" s="2">
        <v>2.67</v>
      </c>
    </row>
    <row r="26" spans="2:24" x14ac:dyDescent="0.55000000000000004">
      <c r="B26" s="2">
        <v>21</v>
      </c>
      <c r="C26" s="7" t="s">
        <v>11</v>
      </c>
      <c r="D26" s="7">
        <v>48896395</v>
      </c>
      <c r="E26" s="7">
        <v>30556776</v>
      </c>
      <c r="F26" s="7">
        <v>346316</v>
      </c>
      <c r="G26" s="7">
        <v>16851512</v>
      </c>
      <c r="H26" s="7">
        <v>1141791</v>
      </c>
      <c r="I26" s="7">
        <v>62.49</v>
      </c>
      <c r="J26" s="7">
        <v>0.71</v>
      </c>
      <c r="K26" s="7">
        <v>34.46</v>
      </c>
      <c r="L26" s="7">
        <v>2.34</v>
      </c>
      <c r="N26" s="2">
        <v>21</v>
      </c>
      <c r="O26" s="2" t="s">
        <v>11</v>
      </c>
      <c r="P26" s="2">
        <v>467098</v>
      </c>
      <c r="Q26" s="2">
        <v>299274</v>
      </c>
      <c r="R26" s="2">
        <v>18544</v>
      </c>
      <c r="S26" s="2">
        <v>147148</v>
      </c>
      <c r="T26" s="2">
        <v>2132</v>
      </c>
      <c r="U26" s="2">
        <v>64.069999999999993</v>
      </c>
      <c r="V26" s="2">
        <v>3.97</v>
      </c>
      <c r="W26" s="2">
        <v>31.5</v>
      </c>
      <c r="X26" s="2">
        <v>0.46</v>
      </c>
    </row>
    <row r="27" spans="2:24" x14ac:dyDescent="0.55000000000000004">
      <c r="B27" s="2">
        <v>22</v>
      </c>
      <c r="C27" s="7" t="s">
        <v>11</v>
      </c>
      <c r="D27" s="7">
        <v>45989927</v>
      </c>
      <c r="E27" s="7">
        <v>29068750</v>
      </c>
      <c r="F27" s="7">
        <v>421390</v>
      </c>
      <c r="G27" s="7">
        <v>16426067</v>
      </c>
      <c r="H27" s="7">
        <v>73720</v>
      </c>
      <c r="I27" s="7">
        <v>63.21</v>
      </c>
      <c r="J27" s="7">
        <v>0.92</v>
      </c>
      <c r="K27" s="7">
        <v>35.72</v>
      </c>
      <c r="L27" s="7">
        <v>0.16</v>
      </c>
      <c r="N27" s="2">
        <v>22</v>
      </c>
      <c r="O27" s="2" t="s">
        <v>11</v>
      </c>
      <c r="P27" s="2">
        <v>450092</v>
      </c>
      <c r="Q27" s="2">
        <v>262088</v>
      </c>
      <c r="R27" s="2">
        <v>24960</v>
      </c>
      <c r="S27" s="2">
        <v>161822</v>
      </c>
      <c r="T27" s="2">
        <v>1222</v>
      </c>
      <c r="U27" s="2">
        <v>58.23</v>
      </c>
      <c r="V27" s="2">
        <v>5.55</v>
      </c>
      <c r="W27" s="2">
        <v>35.950000000000003</v>
      </c>
      <c r="X27" s="2">
        <v>0.27</v>
      </c>
    </row>
    <row r="28" spans="2:24" x14ac:dyDescent="0.55000000000000004">
      <c r="B28" s="2">
        <v>23</v>
      </c>
      <c r="C28" s="7" t="s">
        <v>11</v>
      </c>
      <c r="D28" s="7">
        <v>45861794</v>
      </c>
      <c r="E28" s="7">
        <v>29283405</v>
      </c>
      <c r="F28" s="7">
        <v>444126</v>
      </c>
      <c r="G28" s="7">
        <v>16085499</v>
      </c>
      <c r="H28" s="7">
        <v>48764</v>
      </c>
      <c r="I28" s="7">
        <v>63.85</v>
      </c>
      <c r="J28" s="7">
        <v>0.97</v>
      </c>
      <c r="K28" s="7">
        <v>35.07</v>
      </c>
      <c r="L28" s="7">
        <v>0.11</v>
      </c>
      <c r="N28" s="2">
        <v>23</v>
      </c>
      <c r="O28" s="2" t="s">
        <v>11</v>
      </c>
      <c r="P28" s="2">
        <v>341763</v>
      </c>
      <c r="Q28" s="2">
        <v>208754</v>
      </c>
      <c r="R28" s="2">
        <v>16208</v>
      </c>
      <c r="S28" s="2">
        <v>114636</v>
      </c>
      <c r="T28" s="2">
        <v>2165</v>
      </c>
      <c r="U28" s="2">
        <v>61.08</v>
      </c>
      <c r="V28" s="2">
        <v>4.74</v>
      </c>
      <c r="W28" s="2">
        <v>33.54</v>
      </c>
      <c r="X28" s="2">
        <v>0.63</v>
      </c>
    </row>
    <row r="29" spans="2:24" x14ac:dyDescent="0.55000000000000004">
      <c r="B29" s="2">
        <v>24</v>
      </c>
      <c r="C29" s="7" t="s">
        <v>11</v>
      </c>
      <c r="D29" s="7">
        <v>56636973</v>
      </c>
      <c r="E29" s="7">
        <v>37488160</v>
      </c>
      <c r="F29" s="7">
        <v>1109242</v>
      </c>
      <c r="G29" s="7">
        <v>17512085</v>
      </c>
      <c r="H29" s="7">
        <v>527486</v>
      </c>
      <c r="I29" s="7">
        <v>66.19</v>
      </c>
      <c r="J29" s="7">
        <v>1.96</v>
      </c>
      <c r="K29" s="7">
        <v>30.92</v>
      </c>
      <c r="L29" s="7">
        <v>0.93</v>
      </c>
      <c r="N29" s="2">
        <v>24</v>
      </c>
      <c r="O29" s="2" t="s">
        <v>11</v>
      </c>
      <c r="P29" s="2">
        <v>873494</v>
      </c>
      <c r="Q29" s="2">
        <v>525370</v>
      </c>
      <c r="R29" s="2">
        <v>80224</v>
      </c>
      <c r="S29" s="2">
        <v>256852</v>
      </c>
      <c r="T29" s="2">
        <v>11048</v>
      </c>
      <c r="U29" s="2">
        <v>60.15</v>
      </c>
      <c r="V29" s="2">
        <v>9.18</v>
      </c>
      <c r="W29" s="2">
        <v>29.41</v>
      </c>
      <c r="X29" s="2">
        <v>1.26</v>
      </c>
    </row>
    <row r="30" spans="2:24" x14ac:dyDescent="0.55000000000000004">
      <c r="B30" s="2">
        <v>25</v>
      </c>
      <c r="C30" s="7" t="s">
        <v>11</v>
      </c>
      <c r="D30" s="7">
        <v>44154069</v>
      </c>
      <c r="E30" s="7">
        <v>28579645</v>
      </c>
      <c r="F30" s="7">
        <v>473531</v>
      </c>
      <c r="G30" s="7">
        <v>15069773</v>
      </c>
      <c r="H30" s="7">
        <v>31120</v>
      </c>
      <c r="I30" s="7">
        <v>64.73</v>
      </c>
      <c r="J30" s="7">
        <v>1.07</v>
      </c>
      <c r="K30" s="7">
        <v>34.130000000000003</v>
      </c>
      <c r="L30" s="7">
        <v>7.0000000000000007E-2</v>
      </c>
      <c r="N30" s="2">
        <v>25</v>
      </c>
      <c r="O30" s="2" t="s">
        <v>11</v>
      </c>
      <c r="P30" s="2">
        <v>592259</v>
      </c>
      <c r="Q30" s="2">
        <v>355784</v>
      </c>
      <c r="R30" s="2">
        <v>43776</v>
      </c>
      <c r="S30" s="2">
        <v>188216</v>
      </c>
      <c r="T30" s="2">
        <v>4483</v>
      </c>
      <c r="U30" s="2">
        <v>60.07</v>
      </c>
      <c r="V30" s="2">
        <v>7.39</v>
      </c>
      <c r="W30" s="2">
        <v>31.78</v>
      </c>
      <c r="X30" s="2">
        <v>0.76</v>
      </c>
    </row>
    <row r="31" spans="2:24" x14ac:dyDescent="0.55000000000000004">
      <c r="B31" s="2">
        <v>26</v>
      </c>
      <c r="C31" s="7" t="s">
        <v>11</v>
      </c>
      <c r="D31" s="7">
        <v>64255045</v>
      </c>
      <c r="E31" s="7">
        <v>41659912</v>
      </c>
      <c r="F31" s="7">
        <v>1590773</v>
      </c>
      <c r="G31" s="7">
        <v>19639643</v>
      </c>
      <c r="H31" s="7">
        <v>1364717</v>
      </c>
      <c r="I31" s="7">
        <v>64.84</v>
      </c>
      <c r="J31" s="7">
        <v>2.48</v>
      </c>
      <c r="K31" s="7">
        <v>30.57</v>
      </c>
      <c r="L31" s="7">
        <v>2.12</v>
      </c>
      <c r="N31" s="2">
        <v>26</v>
      </c>
      <c r="O31" s="2" t="s">
        <v>11</v>
      </c>
      <c r="P31" s="2">
        <v>739621</v>
      </c>
      <c r="Q31" s="2">
        <v>448258</v>
      </c>
      <c r="R31" s="2">
        <v>81864</v>
      </c>
      <c r="S31" s="2">
        <v>195706</v>
      </c>
      <c r="T31" s="2">
        <v>13793</v>
      </c>
      <c r="U31" s="2">
        <v>60.61</v>
      </c>
      <c r="V31" s="2">
        <v>11.07</v>
      </c>
      <c r="W31" s="2">
        <v>26.46</v>
      </c>
      <c r="X31" s="2">
        <v>1.86</v>
      </c>
    </row>
    <row r="32" spans="2:24" x14ac:dyDescent="0.55000000000000004">
      <c r="B32" s="2">
        <v>27</v>
      </c>
      <c r="C32" s="7" t="s">
        <v>11</v>
      </c>
      <c r="D32" s="7">
        <v>58058080</v>
      </c>
      <c r="E32" s="7">
        <v>37472604</v>
      </c>
      <c r="F32" s="7">
        <v>1006142</v>
      </c>
      <c r="G32" s="7">
        <v>19571038</v>
      </c>
      <c r="H32" s="7">
        <v>8296</v>
      </c>
      <c r="I32" s="7">
        <v>64.540000000000006</v>
      </c>
      <c r="J32" s="7">
        <v>1.73</v>
      </c>
      <c r="K32" s="7">
        <v>33.71</v>
      </c>
      <c r="L32" s="7">
        <v>0.01</v>
      </c>
      <c r="N32" s="2">
        <v>27</v>
      </c>
      <c r="O32" s="2" t="s">
        <v>11</v>
      </c>
      <c r="P32" s="2">
        <v>636388</v>
      </c>
      <c r="Q32" s="2">
        <v>383734</v>
      </c>
      <c r="R32" s="2">
        <v>50672</v>
      </c>
      <c r="S32" s="2">
        <v>197800</v>
      </c>
      <c r="T32" s="2">
        <v>4182</v>
      </c>
      <c r="U32" s="2">
        <v>60.3</v>
      </c>
      <c r="V32" s="2">
        <v>7.96</v>
      </c>
      <c r="W32" s="2">
        <v>31.08</v>
      </c>
      <c r="X32" s="2">
        <v>0.66</v>
      </c>
    </row>
    <row r="33" spans="2:24" x14ac:dyDescent="0.55000000000000004">
      <c r="B33" s="2">
        <v>28</v>
      </c>
      <c r="C33" s="7" t="s">
        <v>11</v>
      </c>
      <c r="D33" s="7">
        <v>51008990</v>
      </c>
      <c r="E33" s="7">
        <v>32072247</v>
      </c>
      <c r="F33" s="7">
        <v>845605</v>
      </c>
      <c r="G33" s="7">
        <v>17855778</v>
      </c>
      <c r="H33" s="7">
        <v>235360</v>
      </c>
      <c r="I33" s="7">
        <v>62.88</v>
      </c>
      <c r="J33" s="7">
        <v>1.66</v>
      </c>
      <c r="K33" s="7">
        <v>35.01</v>
      </c>
      <c r="L33" s="7">
        <v>0.46</v>
      </c>
      <c r="N33" s="2">
        <v>28</v>
      </c>
      <c r="O33" s="2" t="s">
        <v>11</v>
      </c>
      <c r="P33" s="2">
        <v>581012</v>
      </c>
      <c r="Q33" s="2">
        <v>363578</v>
      </c>
      <c r="R33" s="2">
        <v>42624</v>
      </c>
      <c r="S33" s="2">
        <v>170434</v>
      </c>
      <c r="T33" s="2">
        <v>4376</v>
      </c>
      <c r="U33" s="2">
        <v>62.58</v>
      </c>
      <c r="V33" s="2">
        <v>7.34</v>
      </c>
      <c r="W33" s="2">
        <v>29.33</v>
      </c>
      <c r="X33" s="2">
        <v>0.75</v>
      </c>
    </row>
    <row r="34" spans="2:24" x14ac:dyDescent="0.55000000000000004">
      <c r="B34" s="2">
        <v>29</v>
      </c>
      <c r="C34" s="7" t="s">
        <v>11</v>
      </c>
      <c r="D34" s="7">
        <v>82246620</v>
      </c>
      <c r="E34" s="7">
        <v>52823458</v>
      </c>
      <c r="F34" s="7">
        <v>1593923</v>
      </c>
      <c r="G34" s="7">
        <v>25606691</v>
      </c>
      <c r="H34" s="7">
        <v>2222548</v>
      </c>
      <c r="I34" s="7">
        <v>64.23</v>
      </c>
      <c r="J34" s="7">
        <v>1.94</v>
      </c>
      <c r="K34" s="7">
        <v>31.13</v>
      </c>
      <c r="L34" s="7">
        <v>2.7</v>
      </c>
      <c r="N34" s="2">
        <v>29</v>
      </c>
      <c r="O34" s="2" t="s">
        <v>11</v>
      </c>
      <c r="P34" s="2">
        <v>553732</v>
      </c>
      <c r="Q34" s="2">
        <v>313616</v>
      </c>
      <c r="R34" s="2">
        <v>49184</v>
      </c>
      <c r="S34" s="2">
        <v>175618</v>
      </c>
      <c r="T34" s="2">
        <v>15314</v>
      </c>
      <c r="U34" s="2">
        <v>56.64</v>
      </c>
      <c r="V34" s="2">
        <v>8.8800000000000008</v>
      </c>
      <c r="W34" s="2">
        <v>31.72</v>
      </c>
      <c r="X34" s="2">
        <v>2.77</v>
      </c>
    </row>
    <row r="35" spans="2:24" x14ac:dyDescent="0.55000000000000004">
      <c r="B35" s="2">
        <v>30</v>
      </c>
      <c r="C35" s="7" t="s">
        <v>11</v>
      </c>
      <c r="D35" s="7">
        <v>58119609</v>
      </c>
      <c r="E35" s="7">
        <v>37606621</v>
      </c>
      <c r="F35" s="7">
        <v>1288336</v>
      </c>
      <c r="G35" s="7">
        <v>18491943</v>
      </c>
      <c r="H35" s="7">
        <v>732709</v>
      </c>
      <c r="I35" s="7">
        <v>64.709999999999994</v>
      </c>
      <c r="J35" s="7">
        <v>2.2200000000000002</v>
      </c>
      <c r="K35" s="7">
        <v>31.82</v>
      </c>
      <c r="L35" s="7">
        <v>1.26</v>
      </c>
      <c r="N35" s="2">
        <v>30</v>
      </c>
      <c r="O35" s="2" t="s">
        <v>11</v>
      </c>
      <c r="P35" s="2">
        <v>881216</v>
      </c>
      <c r="Q35" s="2">
        <v>512898</v>
      </c>
      <c r="R35" s="2">
        <v>93080</v>
      </c>
      <c r="S35" s="2">
        <v>265224</v>
      </c>
      <c r="T35" s="2">
        <v>10014</v>
      </c>
      <c r="U35" s="2">
        <v>58.2</v>
      </c>
      <c r="V35" s="2">
        <v>10.56</v>
      </c>
      <c r="W35" s="2">
        <v>30.1</v>
      </c>
      <c r="X35" s="2">
        <v>1.1399999999999999</v>
      </c>
    </row>
    <row r="36" spans="2:24" x14ac:dyDescent="0.55000000000000004">
      <c r="B36" s="2">
        <v>31</v>
      </c>
      <c r="C36" s="7" t="s">
        <v>11</v>
      </c>
      <c r="D36" s="7">
        <v>66403402</v>
      </c>
      <c r="E36" s="7">
        <v>41735146</v>
      </c>
      <c r="F36" s="7">
        <v>761024</v>
      </c>
      <c r="G36" s="7">
        <v>23661604</v>
      </c>
      <c r="H36" s="7">
        <v>245628</v>
      </c>
      <c r="I36" s="7">
        <v>62.85</v>
      </c>
      <c r="J36" s="7">
        <v>1.1499999999999999</v>
      </c>
      <c r="K36" s="7">
        <v>35.630000000000003</v>
      </c>
      <c r="L36" s="7">
        <v>0.37</v>
      </c>
      <c r="N36" s="2">
        <v>31</v>
      </c>
      <c r="O36" s="2" t="s">
        <v>11</v>
      </c>
      <c r="P36" s="2">
        <v>851647</v>
      </c>
      <c r="Q36" s="2">
        <v>521618</v>
      </c>
      <c r="R36" s="2">
        <v>60384</v>
      </c>
      <c r="S36" s="2">
        <v>265304</v>
      </c>
      <c r="T36" s="2">
        <v>4341</v>
      </c>
      <c r="U36" s="2">
        <v>61.25</v>
      </c>
      <c r="V36" s="2">
        <v>7.09</v>
      </c>
      <c r="W36" s="2">
        <v>31.15</v>
      </c>
      <c r="X36" s="2">
        <v>0.51</v>
      </c>
    </row>
    <row r="37" spans="2:24" x14ac:dyDescent="0.55000000000000004">
      <c r="B37" s="2">
        <v>32</v>
      </c>
      <c r="C37" s="7" t="s">
        <v>11</v>
      </c>
      <c r="D37" s="7">
        <v>60827132</v>
      </c>
      <c r="E37" s="7">
        <v>37752879</v>
      </c>
      <c r="F37" s="7">
        <v>551394</v>
      </c>
      <c r="G37" s="7">
        <v>22400139</v>
      </c>
      <c r="H37" s="7">
        <v>122720</v>
      </c>
      <c r="I37" s="7">
        <v>62.07</v>
      </c>
      <c r="J37" s="7">
        <v>0.91</v>
      </c>
      <c r="K37" s="7">
        <v>36.83</v>
      </c>
      <c r="L37" s="7">
        <v>0.2</v>
      </c>
      <c r="N37" s="2">
        <v>32</v>
      </c>
      <c r="O37" s="2" t="s">
        <v>11</v>
      </c>
      <c r="P37" s="2">
        <v>481486</v>
      </c>
      <c r="Q37" s="2">
        <v>295226</v>
      </c>
      <c r="R37" s="2">
        <v>24248</v>
      </c>
      <c r="S37" s="2">
        <v>153870</v>
      </c>
      <c r="T37" s="2">
        <v>8142</v>
      </c>
      <c r="U37" s="2">
        <v>61.32</v>
      </c>
      <c r="V37" s="2">
        <v>5.04</v>
      </c>
      <c r="W37" s="2">
        <v>31.96</v>
      </c>
      <c r="X37" s="2">
        <v>1.69</v>
      </c>
    </row>
    <row r="38" spans="2:24" x14ac:dyDescent="0.55000000000000004">
      <c r="B38" s="2">
        <v>33</v>
      </c>
      <c r="C38" s="6" t="s">
        <v>12</v>
      </c>
      <c r="D38" s="6">
        <v>53975781</v>
      </c>
      <c r="E38" s="6">
        <v>33075457</v>
      </c>
      <c r="F38" s="6">
        <v>1124628</v>
      </c>
      <c r="G38" s="6">
        <v>19667293</v>
      </c>
      <c r="H38" s="6">
        <v>108403</v>
      </c>
      <c r="I38" s="6">
        <v>61.28</v>
      </c>
      <c r="J38" s="6">
        <v>2.08</v>
      </c>
      <c r="K38" s="6">
        <v>36.44</v>
      </c>
      <c r="L38" s="6">
        <v>0.2</v>
      </c>
      <c r="N38" s="2">
        <v>33</v>
      </c>
      <c r="O38" s="2" t="s">
        <v>12</v>
      </c>
      <c r="P38" s="2">
        <v>803044</v>
      </c>
      <c r="Q38" s="2">
        <v>449102</v>
      </c>
      <c r="R38" s="2">
        <v>90072</v>
      </c>
      <c r="S38" s="2">
        <v>261320</v>
      </c>
      <c r="T38" s="2">
        <v>2550</v>
      </c>
      <c r="U38" s="2">
        <v>55.92</v>
      </c>
      <c r="V38" s="2">
        <v>11.22</v>
      </c>
      <c r="W38" s="2">
        <v>32.54</v>
      </c>
      <c r="X38" s="2">
        <v>0.32</v>
      </c>
    </row>
    <row r="39" spans="2:24" x14ac:dyDescent="0.55000000000000004">
      <c r="B39" s="2">
        <v>34</v>
      </c>
      <c r="C39" s="6" t="s">
        <v>12</v>
      </c>
      <c r="D39" s="6">
        <v>62889754</v>
      </c>
      <c r="E39" s="6">
        <v>40256254</v>
      </c>
      <c r="F39" s="6">
        <v>1263512</v>
      </c>
      <c r="G39" s="6">
        <v>21272430</v>
      </c>
      <c r="H39" s="6">
        <v>97558</v>
      </c>
      <c r="I39" s="6">
        <v>64.010000000000005</v>
      </c>
      <c r="J39" s="6">
        <v>2.0099999999999998</v>
      </c>
      <c r="K39" s="6">
        <v>33.82</v>
      </c>
      <c r="L39" s="6">
        <v>0.16</v>
      </c>
      <c r="N39" s="2">
        <v>34</v>
      </c>
      <c r="O39" s="2" t="s">
        <v>12</v>
      </c>
      <c r="P39" s="2">
        <v>992439</v>
      </c>
      <c r="Q39" s="2">
        <v>550562</v>
      </c>
      <c r="R39" s="2">
        <v>119416</v>
      </c>
      <c r="S39" s="2">
        <v>314288</v>
      </c>
      <c r="T39" s="2">
        <v>8173</v>
      </c>
      <c r="U39" s="2">
        <v>55.48</v>
      </c>
      <c r="V39" s="2">
        <v>12.03</v>
      </c>
      <c r="W39" s="2">
        <v>31.67</v>
      </c>
      <c r="X39" s="2">
        <v>0.82</v>
      </c>
    </row>
    <row r="40" spans="2:24" x14ac:dyDescent="0.55000000000000004">
      <c r="B40" s="2">
        <v>35</v>
      </c>
      <c r="C40" s="6" t="s">
        <v>12</v>
      </c>
      <c r="D40" s="6">
        <v>53437236</v>
      </c>
      <c r="E40" s="6">
        <v>34720884</v>
      </c>
      <c r="F40" s="6">
        <v>814176</v>
      </c>
      <c r="G40" s="6">
        <v>17572826</v>
      </c>
      <c r="H40" s="6">
        <v>329350</v>
      </c>
      <c r="I40" s="6">
        <v>64.98</v>
      </c>
      <c r="J40" s="6">
        <v>1.52</v>
      </c>
      <c r="K40" s="6">
        <v>32.880000000000003</v>
      </c>
      <c r="L40" s="6">
        <v>0.62</v>
      </c>
      <c r="N40" s="2">
        <v>35</v>
      </c>
      <c r="O40" s="2" t="s">
        <v>12</v>
      </c>
      <c r="P40" s="2">
        <v>450479</v>
      </c>
      <c r="Q40" s="2">
        <v>261218</v>
      </c>
      <c r="R40" s="2">
        <v>31904</v>
      </c>
      <c r="S40" s="2">
        <v>151926</v>
      </c>
      <c r="T40" s="2">
        <v>5431</v>
      </c>
      <c r="U40" s="2">
        <v>57.99</v>
      </c>
      <c r="V40" s="2">
        <v>7.08</v>
      </c>
      <c r="W40" s="2">
        <v>33.729999999999997</v>
      </c>
      <c r="X40" s="2">
        <v>1.21</v>
      </c>
    </row>
    <row r="41" spans="2:24" x14ac:dyDescent="0.55000000000000004">
      <c r="B41" s="2">
        <v>36</v>
      </c>
      <c r="C41" s="6" t="s">
        <v>12</v>
      </c>
      <c r="D41" s="6">
        <v>51060327</v>
      </c>
      <c r="E41" s="6">
        <v>32658758</v>
      </c>
      <c r="F41" s="6">
        <v>721826</v>
      </c>
      <c r="G41" s="6">
        <v>17512620</v>
      </c>
      <c r="H41" s="6">
        <v>167123</v>
      </c>
      <c r="I41" s="6">
        <v>63.96</v>
      </c>
      <c r="J41" s="6">
        <v>1.41</v>
      </c>
      <c r="K41" s="6">
        <v>34.299999999999997</v>
      </c>
      <c r="L41" s="6">
        <v>0.33</v>
      </c>
      <c r="N41" s="2">
        <v>36</v>
      </c>
      <c r="O41" s="2" t="s">
        <v>12</v>
      </c>
      <c r="P41" s="2">
        <v>660821</v>
      </c>
      <c r="Q41" s="2">
        <v>400196</v>
      </c>
      <c r="R41" s="2">
        <v>50848</v>
      </c>
      <c r="S41" s="2">
        <v>207782</v>
      </c>
      <c r="T41" s="2">
        <v>1995</v>
      </c>
      <c r="U41" s="2">
        <v>60.56</v>
      </c>
      <c r="V41" s="2">
        <v>7.69</v>
      </c>
      <c r="W41" s="2">
        <v>31.44</v>
      </c>
      <c r="X41" s="2">
        <v>0.3</v>
      </c>
    </row>
    <row r="42" spans="2:24" x14ac:dyDescent="0.55000000000000004">
      <c r="B42" s="2">
        <v>37</v>
      </c>
      <c r="C42" s="5" t="s">
        <v>13</v>
      </c>
      <c r="D42" s="5">
        <v>44683626</v>
      </c>
      <c r="E42" s="5">
        <v>27623536</v>
      </c>
      <c r="F42" s="5">
        <v>467745</v>
      </c>
      <c r="G42" s="5">
        <v>16322847</v>
      </c>
      <c r="H42" s="5">
        <v>269498</v>
      </c>
      <c r="I42" s="5">
        <v>61.82</v>
      </c>
      <c r="J42" s="5">
        <v>1.05</v>
      </c>
      <c r="K42" s="5">
        <v>36.53</v>
      </c>
      <c r="L42" s="5">
        <v>0.6</v>
      </c>
      <c r="N42" s="2">
        <v>37</v>
      </c>
      <c r="O42" s="2" t="s">
        <v>14</v>
      </c>
      <c r="P42" s="2">
        <v>615705</v>
      </c>
      <c r="Q42" s="2">
        <v>372896</v>
      </c>
      <c r="R42" s="2">
        <v>39384</v>
      </c>
      <c r="S42" s="2">
        <v>200770</v>
      </c>
      <c r="T42" s="2">
        <v>2655</v>
      </c>
      <c r="U42" s="2">
        <v>60.56</v>
      </c>
      <c r="V42" s="2">
        <v>6.4</v>
      </c>
      <c r="W42" s="2">
        <v>32.61</v>
      </c>
      <c r="X42" s="2">
        <v>0.43</v>
      </c>
    </row>
    <row r="43" spans="2:24" x14ac:dyDescent="0.55000000000000004">
      <c r="B43" s="2">
        <v>38</v>
      </c>
      <c r="C43" s="5" t="s">
        <v>13</v>
      </c>
      <c r="D43" s="5">
        <v>52668599</v>
      </c>
      <c r="E43" s="5">
        <v>33320217</v>
      </c>
      <c r="F43" s="5">
        <v>693298</v>
      </c>
      <c r="G43" s="5">
        <v>18044511</v>
      </c>
      <c r="H43" s="5">
        <v>610573</v>
      </c>
      <c r="I43" s="5">
        <v>63.26</v>
      </c>
      <c r="J43" s="5">
        <v>1.32</v>
      </c>
      <c r="K43" s="5">
        <v>34.26</v>
      </c>
      <c r="L43" s="5">
        <v>1.1599999999999999</v>
      </c>
      <c r="N43" s="2">
        <v>38</v>
      </c>
      <c r="O43" s="2" t="s">
        <v>14</v>
      </c>
      <c r="P43" s="2">
        <v>497964</v>
      </c>
      <c r="Q43" s="2">
        <v>293390</v>
      </c>
      <c r="R43" s="2">
        <v>30664</v>
      </c>
      <c r="S43" s="2">
        <v>167712</v>
      </c>
      <c r="T43" s="2">
        <v>6198</v>
      </c>
      <c r="U43" s="2">
        <v>58.92</v>
      </c>
      <c r="V43" s="2">
        <v>6.16</v>
      </c>
      <c r="W43" s="2">
        <v>33.68</v>
      </c>
      <c r="X43" s="2">
        <v>1.24</v>
      </c>
    </row>
    <row r="44" spans="2:24" x14ac:dyDescent="0.55000000000000004">
      <c r="B44" s="2">
        <v>39</v>
      </c>
      <c r="C44" s="5" t="s">
        <v>13</v>
      </c>
      <c r="D44" s="5">
        <v>46547704</v>
      </c>
      <c r="E44" s="5">
        <v>30014353</v>
      </c>
      <c r="F44" s="5">
        <v>641722</v>
      </c>
      <c r="G44" s="5">
        <v>15779343</v>
      </c>
      <c r="H44" s="5">
        <v>112286</v>
      </c>
      <c r="I44" s="5">
        <v>64.48</v>
      </c>
      <c r="J44" s="5">
        <v>1.38</v>
      </c>
      <c r="K44" s="5">
        <v>33.9</v>
      </c>
      <c r="L44" s="5">
        <v>0.24</v>
      </c>
      <c r="N44" s="2">
        <v>39</v>
      </c>
      <c r="O44" s="2" t="s">
        <v>14</v>
      </c>
      <c r="P44" s="2">
        <v>660200</v>
      </c>
      <c r="Q44" s="2">
        <v>407032</v>
      </c>
      <c r="R44" s="2">
        <v>41408</v>
      </c>
      <c r="S44" s="2">
        <v>210510</v>
      </c>
      <c r="T44" s="2">
        <v>1250</v>
      </c>
      <c r="U44" s="2">
        <v>61.65</v>
      </c>
      <c r="V44" s="2">
        <v>6.27</v>
      </c>
      <c r="W44" s="2">
        <v>31.89</v>
      </c>
      <c r="X44" s="2">
        <v>0.19</v>
      </c>
    </row>
    <row r="45" spans="2:24" x14ac:dyDescent="0.55000000000000004">
      <c r="B45" s="2">
        <v>40</v>
      </c>
      <c r="C45" s="5" t="s">
        <v>13</v>
      </c>
      <c r="D45" s="5">
        <v>50344869</v>
      </c>
      <c r="E45" s="5">
        <v>33014049</v>
      </c>
      <c r="F45" s="5">
        <v>324958</v>
      </c>
      <c r="G45" s="5">
        <v>16508357</v>
      </c>
      <c r="H45" s="5">
        <v>497505</v>
      </c>
      <c r="I45" s="5">
        <v>65.58</v>
      </c>
      <c r="J45" s="5">
        <v>0.65</v>
      </c>
      <c r="K45" s="5">
        <v>32.79</v>
      </c>
      <c r="L45" s="5">
        <v>0.99</v>
      </c>
      <c r="N45" s="2">
        <v>40</v>
      </c>
      <c r="O45" s="2" t="s">
        <v>14</v>
      </c>
      <c r="P45" s="2">
        <v>449467</v>
      </c>
      <c r="Q45" s="2">
        <v>261276</v>
      </c>
      <c r="R45" s="2">
        <v>15480</v>
      </c>
      <c r="S45" s="2">
        <v>168202</v>
      </c>
      <c r="T45" s="2">
        <v>4509</v>
      </c>
      <c r="U45" s="2">
        <v>58.13</v>
      </c>
      <c r="V45" s="2">
        <v>3.44</v>
      </c>
      <c r="W45" s="2">
        <v>37.42</v>
      </c>
      <c r="X45" s="2">
        <v>1</v>
      </c>
    </row>
    <row r="46" spans="2:24" x14ac:dyDescent="0.55000000000000004">
      <c r="B46" s="2">
        <v>41</v>
      </c>
      <c r="C46" s="5" t="s">
        <v>13</v>
      </c>
      <c r="D46" s="5">
        <v>52573392</v>
      </c>
      <c r="E46" s="5">
        <v>32995985</v>
      </c>
      <c r="F46" s="5">
        <v>1269364</v>
      </c>
      <c r="G46" s="5">
        <v>17908668</v>
      </c>
      <c r="H46" s="5">
        <v>399375</v>
      </c>
      <c r="I46" s="5">
        <v>62.76</v>
      </c>
      <c r="J46" s="5">
        <v>2.41</v>
      </c>
      <c r="K46" s="5">
        <v>34.06</v>
      </c>
      <c r="L46" s="5">
        <v>0.76</v>
      </c>
      <c r="N46" s="2">
        <v>41</v>
      </c>
      <c r="O46" s="2" t="s">
        <v>14</v>
      </c>
      <c r="P46" s="2">
        <v>603825</v>
      </c>
      <c r="Q46" s="2">
        <v>351142</v>
      </c>
      <c r="R46" s="2">
        <v>65208</v>
      </c>
      <c r="S46" s="2">
        <v>181692</v>
      </c>
      <c r="T46" s="2">
        <v>5783</v>
      </c>
      <c r="U46" s="2">
        <v>58.15</v>
      </c>
      <c r="V46" s="2">
        <v>10.8</v>
      </c>
      <c r="W46" s="2">
        <v>30.09</v>
      </c>
      <c r="X46" s="2">
        <v>0.96</v>
      </c>
    </row>
    <row r="47" spans="2:24" x14ac:dyDescent="0.55000000000000004">
      <c r="B47" s="2">
        <v>42</v>
      </c>
      <c r="C47" s="5" t="s">
        <v>13</v>
      </c>
      <c r="D47" s="5">
        <v>85043274</v>
      </c>
      <c r="E47" s="5">
        <v>57131466</v>
      </c>
      <c r="F47" s="5">
        <v>1387916</v>
      </c>
      <c r="G47" s="5">
        <v>24508880</v>
      </c>
      <c r="H47" s="5">
        <v>2015012</v>
      </c>
      <c r="I47" s="5">
        <v>67.180000000000007</v>
      </c>
      <c r="J47" s="5">
        <v>1.63</v>
      </c>
      <c r="K47" s="5">
        <v>28.82</v>
      </c>
      <c r="L47" s="5">
        <v>2.37</v>
      </c>
      <c r="N47" s="2">
        <v>42</v>
      </c>
      <c r="O47" s="2" t="s">
        <v>14</v>
      </c>
      <c r="P47" s="2">
        <v>483700</v>
      </c>
      <c r="Q47" s="2">
        <v>277630</v>
      </c>
      <c r="R47" s="2">
        <v>32888</v>
      </c>
      <c r="S47" s="2">
        <v>161738</v>
      </c>
      <c r="T47" s="2">
        <v>11444</v>
      </c>
      <c r="U47" s="2">
        <v>57.4</v>
      </c>
      <c r="V47" s="2">
        <v>6.8</v>
      </c>
      <c r="W47" s="2">
        <v>33.44</v>
      </c>
      <c r="X47" s="2">
        <v>2.37</v>
      </c>
    </row>
    <row r="48" spans="2:24" x14ac:dyDescent="0.55000000000000004">
      <c r="B48" s="2">
        <v>43</v>
      </c>
      <c r="C48" s="5" t="s">
        <v>13</v>
      </c>
      <c r="D48" s="5">
        <v>47844554</v>
      </c>
      <c r="E48" s="5">
        <v>30844117</v>
      </c>
      <c r="F48" s="5">
        <v>753612</v>
      </c>
      <c r="G48" s="5">
        <v>16027788</v>
      </c>
      <c r="H48" s="5">
        <v>219037</v>
      </c>
      <c r="I48" s="5">
        <v>64.47</v>
      </c>
      <c r="J48" s="5">
        <v>1.58</v>
      </c>
      <c r="K48" s="5">
        <v>33.5</v>
      </c>
      <c r="L48" s="5">
        <v>0.46</v>
      </c>
      <c r="N48" s="2">
        <v>43</v>
      </c>
      <c r="O48" s="2" t="s">
        <v>14</v>
      </c>
      <c r="P48" s="2">
        <v>708579</v>
      </c>
      <c r="Q48" s="2">
        <v>425388</v>
      </c>
      <c r="R48" s="2">
        <v>60464</v>
      </c>
      <c r="S48" s="2">
        <v>217230</v>
      </c>
      <c r="T48" s="2">
        <v>5497</v>
      </c>
      <c r="U48" s="2">
        <v>60.03</v>
      </c>
      <c r="V48" s="2">
        <v>8.5299999999999994</v>
      </c>
      <c r="W48" s="2">
        <v>30.66</v>
      </c>
      <c r="X48" s="2">
        <v>0.78</v>
      </c>
    </row>
    <row r="49" spans="2:24" x14ac:dyDescent="0.55000000000000004">
      <c r="B49" s="2">
        <v>44</v>
      </c>
      <c r="C49" s="5" t="s">
        <v>13</v>
      </c>
      <c r="D49" s="5">
        <v>51619221</v>
      </c>
      <c r="E49" s="5">
        <v>32907681</v>
      </c>
      <c r="F49" s="5">
        <v>638916</v>
      </c>
      <c r="G49" s="5">
        <v>17886177</v>
      </c>
      <c r="H49" s="5">
        <v>186447</v>
      </c>
      <c r="I49" s="5">
        <v>63.75</v>
      </c>
      <c r="J49" s="5">
        <v>1.24</v>
      </c>
      <c r="K49" s="5">
        <v>34.65</v>
      </c>
      <c r="L49" s="5">
        <v>0.36</v>
      </c>
      <c r="N49" s="2">
        <v>44</v>
      </c>
      <c r="O49" s="2" t="s">
        <v>14</v>
      </c>
      <c r="P49" s="2">
        <v>632159</v>
      </c>
      <c r="Q49" s="2">
        <v>405484</v>
      </c>
      <c r="R49" s="2">
        <v>34224</v>
      </c>
      <c r="S49" s="2">
        <v>190342</v>
      </c>
      <c r="T49" s="2">
        <v>2109</v>
      </c>
      <c r="U49" s="2">
        <v>64.14</v>
      </c>
      <c r="V49" s="2">
        <v>5.41</v>
      </c>
      <c r="W49" s="2">
        <v>30.11</v>
      </c>
      <c r="X49" s="2">
        <v>0.33</v>
      </c>
    </row>
    <row r="50" spans="2:24" x14ac:dyDescent="0.55000000000000004">
      <c r="B50" s="2">
        <v>45</v>
      </c>
      <c r="C50" s="5" t="s">
        <v>13</v>
      </c>
      <c r="D50" s="5">
        <v>63716020</v>
      </c>
      <c r="E50" s="5">
        <v>39689092</v>
      </c>
      <c r="F50" s="5">
        <v>1170745</v>
      </c>
      <c r="G50" s="5">
        <v>22170817</v>
      </c>
      <c r="H50" s="5">
        <v>685366</v>
      </c>
      <c r="I50" s="5">
        <v>62.29</v>
      </c>
      <c r="J50" s="5">
        <v>1.84</v>
      </c>
      <c r="K50" s="5">
        <v>34.799999999999997</v>
      </c>
      <c r="L50" s="5">
        <v>1.08</v>
      </c>
      <c r="N50" s="2">
        <v>45</v>
      </c>
      <c r="O50" s="2" t="s">
        <v>14</v>
      </c>
      <c r="P50" s="2">
        <v>626554</v>
      </c>
      <c r="Q50" s="2">
        <v>366592</v>
      </c>
      <c r="R50" s="2">
        <v>46256</v>
      </c>
      <c r="S50" s="2">
        <v>207688</v>
      </c>
      <c r="T50" s="2">
        <v>6018</v>
      </c>
      <c r="U50" s="2">
        <v>58.51</v>
      </c>
      <c r="V50" s="2">
        <v>7.38</v>
      </c>
      <c r="W50" s="2">
        <v>33.15</v>
      </c>
      <c r="X50" s="2">
        <v>0.96</v>
      </c>
    </row>
    <row r="51" spans="2:24" x14ac:dyDescent="0.55000000000000004">
      <c r="B51" s="2">
        <v>46</v>
      </c>
      <c r="C51" s="5" t="s">
        <v>13</v>
      </c>
      <c r="D51" s="5">
        <v>53021026</v>
      </c>
      <c r="E51" s="5">
        <v>35005503</v>
      </c>
      <c r="F51" s="5">
        <v>539426</v>
      </c>
      <c r="G51" s="5">
        <v>17078681</v>
      </c>
      <c r="H51" s="5">
        <v>397416</v>
      </c>
      <c r="I51" s="5">
        <v>66.02</v>
      </c>
      <c r="J51" s="5">
        <v>1.02</v>
      </c>
      <c r="K51" s="5">
        <v>32.21</v>
      </c>
      <c r="L51" s="5">
        <v>0.75</v>
      </c>
      <c r="N51" s="2">
        <v>46</v>
      </c>
      <c r="O51" s="2" t="s">
        <v>14</v>
      </c>
      <c r="P51" s="2">
        <v>699504</v>
      </c>
      <c r="Q51" s="2">
        <v>436060</v>
      </c>
      <c r="R51" s="2">
        <v>36816</v>
      </c>
      <c r="S51" s="2">
        <v>220054</v>
      </c>
      <c r="T51" s="2">
        <v>6574</v>
      </c>
      <c r="U51" s="2">
        <v>62.34</v>
      </c>
      <c r="V51" s="2">
        <v>5.26</v>
      </c>
      <c r="W51" s="2">
        <v>31.46</v>
      </c>
      <c r="X51" s="2">
        <v>0.94</v>
      </c>
    </row>
    <row r="52" spans="2:24" x14ac:dyDescent="0.55000000000000004">
      <c r="B52" s="2">
        <v>47</v>
      </c>
      <c r="C52" s="5" t="s">
        <v>13</v>
      </c>
      <c r="D52" s="5">
        <v>55195594</v>
      </c>
      <c r="E52" s="5">
        <v>34958522</v>
      </c>
      <c r="F52" s="5">
        <v>579215</v>
      </c>
      <c r="G52" s="5">
        <v>19631970</v>
      </c>
      <c r="H52" s="5">
        <v>25887</v>
      </c>
      <c r="I52" s="5">
        <v>63.34</v>
      </c>
      <c r="J52" s="5">
        <v>1.05</v>
      </c>
      <c r="K52" s="5">
        <v>35.57</v>
      </c>
      <c r="L52" s="5">
        <v>0.05</v>
      </c>
      <c r="N52" s="2">
        <v>47</v>
      </c>
      <c r="O52" s="2" t="s">
        <v>14</v>
      </c>
      <c r="P52" s="2">
        <v>617523</v>
      </c>
      <c r="Q52" s="2">
        <v>369334</v>
      </c>
      <c r="R52" s="2">
        <v>39152</v>
      </c>
      <c r="S52" s="2">
        <v>205574</v>
      </c>
      <c r="T52" s="2">
        <v>3463</v>
      </c>
      <c r="U52" s="2">
        <v>59.81</v>
      </c>
      <c r="V52" s="2">
        <v>6.34</v>
      </c>
      <c r="W52" s="2">
        <v>33.29</v>
      </c>
      <c r="X52" s="2">
        <v>0.56000000000000005</v>
      </c>
    </row>
    <row r="53" spans="2:24" x14ac:dyDescent="0.55000000000000004">
      <c r="B53" s="2">
        <v>48</v>
      </c>
      <c r="C53" s="5" t="s">
        <v>13</v>
      </c>
      <c r="D53" s="5">
        <v>55674410</v>
      </c>
      <c r="E53" s="5">
        <v>34980553</v>
      </c>
      <c r="F53" s="5">
        <v>531597</v>
      </c>
      <c r="G53" s="5">
        <v>19170272</v>
      </c>
      <c r="H53" s="5">
        <v>991988</v>
      </c>
      <c r="I53" s="5">
        <v>62.83</v>
      </c>
      <c r="J53" s="5">
        <v>0.95</v>
      </c>
      <c r="K53" s="5">
        <v>34.43</v>
      </c>
      <c r="L53" s="5">
        <v>1.78</v>
      </c>
      <c r="N53" s="2">
        <v>48</v>
      </c>
      <c r="O53" s="2" t="s">
        <v>14</v>
      </c>
      <c r="P53" s="2">
        <v>678287</v>
      </c>
      <c r="Q53" s="2">
        <v>415282</v>
      </c>
      <c r="R53" s="2">
        <v>42472</v>
      </c>
      <c r="S53" s="2">
        <v>211524</v>
      </c>
      <c r="T53" s="2">
        <v>9009</v>
      </c>
      <c r="U53" s="2">
        <v>61.23</v>
      </c>
      <c r="V53" s="2">
        <v>6.26</v>
      </c>
      <c r="W53" s="2">
        <v>31.19</v>
      </c>
      <c r="X53" s="2">
        <v>1.33</v>
      </c>
    </row>
    <row r="54" spans="2:24" x14ac:dyDescent="0.55000000000000004">
      <c r="B54" s="2" t="s">
        <v>0</v>
      </c>
      <c r="C54" s="2" t="s">
        <v>2</v>
      </c>
      <c r="D54" s="2">
        <f>SUM(D6:D53)</f>
        <v>2759717876</v>
      </c>
      <c r="E54" s="2">
        <f>SUM(E6:E53)</f>
        <v>1765859571</v>
      </c>
      <c r="F54" s="2">
        <f>SUM(F6:F53)</f>
        <v>42121276</v>
      </c>
      <c r="G54" s="2">
        <f>SUM(G6:G53)</f>
        <v>922081804</v>
      </c>
      <c r="H54" s="2">
        <f>SUM(H6:H53)</f>
        <v>29655225</v>
      </c>
      <c r="I54" s="2">
        <f>E54/D54*100</f>
        <v>63.986959911984854</v>
      </c>
      <c r="J54" s="2">
        <f t="shared" ref="J54:L54" si="0">F54/E54*100</f>
        <v>2.3853128919049249</v>
      </c>
      <c r="K54" s="2">
        <f t="shared" si="0"/>
        <v>2189.11175435426</v>
      </c>
      <c r="L54" s="2">
        <f t="shared" si="0"/>
        <v>3.2161164954514168</v>
      </c>
      <c r="N54" s="2" t="s">
        <v>0</v>
      </c>
      <c r="O54" s="2" t="s">
        <v>2</v>
      </c>
      <c r="P54" s="2">
        <f>SUM(P6:P53)</f>
        <v>29896134</v>
      </c>
      <c r="Q54" s="2">
        <f>SUM(Q6:Q53)</f>
        <v>17925766</v>
      </c>
      <c r="R54" s="2">
        <f>SUM(R6:R53)</f>
        <v>2292648</v>
      </c>
      <c r="S54" s="2">
        <f>SUM(S6:S53)</f>
        <v>9373710</v>
      </c>
      <c r="T54" s="2">
        <f>SUM(T6:T53)</f>
        <v>304010</v>
      </c>
      <c r="U54" s="2">
        <f>Q54/P54*100</f>
        <v>59.960147355507573</v>
      </c>
      <c r="V54" s="2">
        <f t="shared" ref="V54:X54" si="1">R54/Q54*100</f>
        <v>12.789679392222347</v>
      </c>
      <c r="W54" s="2">
        <f t="shared" si="1"/>
        <v>408.85953709422466</v>
      </c>
      <c r="X54" s="2">
        <f t="shared" si="1"/>
        <v>3.2432196003503417</v>
      </c>
    </row>
    <row r="58" spans="2:24" x14ac:dyDescent="0.55000000000000004">
      <c r="B58" s="8" t="s">
        <v>17</v>
      </c>
      <c r="C58" s="8"/>
      <c r="D58" s="8"/>
      <c r="E58" s="8"/>
      <c r="F58" s="8"/>
      <c r="G58" s="8"/>
      <c r="H58" s="8"/>
      <c r="I58" s="8"/>
      <c r="J58" s="8"/>
      <c r="K58" s="8"/>
      <c r="L58" s="8"/>
      <c r="N58" s="8" t="s">
        <v>19</v>
      </c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2:24" x14ac:dyDescent="0.55000000000000004">
      <c r="B59" s="8" t="s">
        <v>18</v>
      </c>
      <c r="C59" s="8"/>
      <c r="D59" s="8"/>
      <c r="E59" s="8"/>
      <c r="F59" s="8"/>
      <c r="G59" s="8"/>
      <c r="H59" s="8"/>
      <c r="I59" s="8"/>
      <c r="J59" s="8"/>
      <c r="K59" s="8"/>
      <c r="L59" s="8"/>
      <c r="N59" s="8" t="s">
        <v>20</v>
      </c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2:24" x14ac:dyDescent="0.55000000000000004">
      <c r="B60" s="8" t="s">
        <v>27</v>
      </c>
      <c r="C60" s="8"/>
      <c r="D60" s="8"/>
      <c r="E60" s="8"/>
      <c r="F60" s="8"/>
      <c r="G60" s="8"/>
      <c r="H60" s="8"/>
      <c r="I60" s="8"/>
      <c r="J60" s="8"/>
      <c r="K60" s="8"/>
      <c r="L60" s="8"/>
      <c r="N60" s="8" t="s">
        <v>21</v>
      </c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24" x14ac:dyDescent="0.55000000000000004">
      <c r="B61" s="8" t="s">
        <v>15</v>
      </c>
      <c r="C61" s="8"/>
      <c r="D61" s="8"/>
      <c r="E61" s="8"/>
      <c r="F61" s="8"/>
      <c r="G61" s="8"/>
      <c r="H61" s="8"/>
      <c r="I61" s="8"/>
      <c r="J61" s="8"/>
      <c r="K61" s="8"/>
      <c r="L61" s="8"/>
      <c r="N61" s="8" t="s">
        <v>22</v>
      </c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2:24" x14ac:dyDescent="0.55000000000000004"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</sheetData>
  <mergeCells count="21">
    <mergeCell ref="B2:L2"/>
    <mergeCell ref="N2:X2"/>
    <mergeCell ref="B4:B5"/>
    <mergeCell ref="C4:C5"/>
    <mergeCell ref="D4:D5"/>
    <mergeCell ref="E4:H4"/>
    <mergeCell ref="I4:L4"/>
    <mergeCell ref="N4:N5"/>
    <mergeCell ref="O4:O5"/>
    <mergeCell ref="P4:P5"/>
    <mergeCell ref="Q4:T4"/>
    <mergeCell ref="U4:X4"/>
    <mergeCell ref="B58:L58"/>
    <mergeCell ref="N58:X58"/>
    <mergeCell ref="B59:L59"/>
    <mergeCell ref="N59:X59"/>
    <mergeCell ref="B60:L60"/>
    <mergeCell ref="N60:X60"/>
    <mergeCell ref="B61:L61"/>
    <mergeCell ref="N61:X61"/>
    <mergeCell ref="N62:X6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4-State-Motion (F)</vt:lpstr>
      <vt:lpstr>4-State-Motion (E)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2026-06-30T12:25:52Z</dcterms:modified>
</cp:coreProperties>
</file>