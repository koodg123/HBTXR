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291BB21-5022-46F1-8ECB-AC93F542992F}" xr6:coauthVersionLast="47" xr6:coauthVersionMax="47" xr10:uidLastSave="{00000000-0000-0000-0000-000000000000}"/>
  <bookViews>
    <workbookView xWindow="-103" yWindow="-103" windowWidth="24892" windowHeight="14914" activeTab="1" xr2:uid="{EBC93B65-0C6B-4B06-94FC-426BE16C9BF5}"/>
  </bookViews>
  <sheets>
    <sheet name="(Q) LUT-Entry" sheetId="10" r:id="rId1"/>
    <sheet name="(Q) Bit-sweep" sheetId="11" r:id="rId2"/>
    <sheet name="(Q) FP32 Comparison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1" l="1"/>
  <c r="H10" i="11" s="1"/>
  <c r="G6" i="15"/>
  <c r="D6" i="15"/>
  <c r="D7" i="15" s="1"/>
  <c r="C6" i="15"/>
  <c r="H6" i="11" l="1"/>
  <c r="H5" i="11"/>
  <c r="H7" i="11"/>
  <c r="H8" i="11"/>
  <c r="H9" i="11"/>
</calcChain>
</file>

<file path=xl/sharedStrings.xml><?xml version="1.0" encoding="utf-8"?>
<sst xmlns="http://schemas.openxmlformats.org/spreadsheetml/2006/main" count="36" uniqueCount="32">
  <si>
    <t>URAM</t>
    <phoneticPr fontId="1" type="noConversion"/>
  </si>
  <si>
    <t>GeLU</t>
    <phoneticPr fontId="1" type="noConversion"/>
  </si>
  <si>
    <t>Patch Embedding</t>
    <phoneticPr fontId="1" type="noConversion"/>
  </si>
  <si>
    <t>MHA</t>
    <phoneticPr fontId="1" type="noConversion"/>
  </si>
  <si>
    <t>MLP</t>
    <phoneticPr fontId="1" type="noConversion"/>
  </si>
  <si>
    <t>Head</t>
    <phoneticPr fontId="1" type="noConversion"/>
  </si>
  <si>
    <t>Non-linear</t>
    <phoneticPr fontId="1" type="noConversion"/>
  </si>
  <si>
    <t>#</t>
    <phoneticPr fontId="1" type="noConversion"/>
  </si>
  <si>
    <t>Pixel Error (px)</t>
    <phoneticPr fontId="1" type="noConversion"/>
  </si>
  <si>
    <t>FP32 (Baseline)</t>
    <phoneticPr fontId="1" type="noConversion"/>
  </si>
  <si>
    <t>Entry</t>
    <phoneticPr fontId="1" type="noConversion"/>
  </si>
  <si>
    <t>Precision</t>
    <phoneticPr fontId="1" type="noConversion"/>
  </si>
  <si>
    <t>Average MSE</t>
    <phoneticPr fontId="1" type="noConversion"/>
  </si>
  <si>
    <t>LayerNorm (RSQRT)</t>
    <phoneticPr fontId="1" type="noConversion"/>
  </si>
  <si>
    <t>Softmax (EXP)</t>
    <phoneticPr fontId="1" type="noConversion"/>
  </si>
  <si>
    <t>Softmax (RECIP)</t>
    <phoneticPr fontId="1" type="noConversion"/>
  </si>
  <si>
    <t>FFs</t>
    <phoneticPr fontId="1" type="noConversion"/>
  </si>
  <si>
    <t>LUTs (K)</t>
    <phoneticPr fontId="1" type="noConversion"/>
  </si>
  <si>
    <t>DSPs</t>
    <phoneticPr fontId="1" type="noConversion"/>
  </si>
  <si>
    <t>BRAM36K</t>
    <phoneticPr fontId="1" type="noConversion"/>
  </si>
  <si>
    <t>Drop Ratio (%)</t>
    <phoneticPr fontId="1" type="noConversion"/>
  </si>
  <si>
    <t>Power</t>
    <phoneticPr fontId="1" type="noConversion"/>
  </si>
  <si>
    <t>PS</t>
    <phoneticPr fontId="1" type="noConversion"/>
  </si>
  <si>
    <t>PL</t>
    <phoneticPr fontId="1" type="noConversion"/>
  </si>
  <si>
    <t>HBTXR-INT</t>
    <phoneticPr fontId="1" type="noConversion"/>
  </si>
  <si>
    <t>HBTXR-FP32</t>
    <phoneticPr fontId="1" type="noConversion"/>
  </si>
  <si>
    <t>ZCU104 Available</t>
    <phoneticPr fontId="1" type="noConversion"/>
  </si>
  <si>
    <t>Increase Ratio</t>
    <phoneticPr fontId="1" type="noConversion"/>
  </si>
  <si>
    <t>Resources</t>
    <phoneticPr fontId="1" type="noConversion"/>
  </si>
  <si>
    <t>-</t>
    <phoneticPr fontId="1" type="noConversion"/>
  </si>
  <si>
    <t>Avg. Latency
 (Search-Path)</t>
    <phoneticPr fontId="1" type="noConversion"/>
  </si>
  <si>
    <t>Avg. Latency
 (Track-Path)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</si>
</sst>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E4E3-5690-4AEE-852C-C5F5C8ED7CD5}">
  <dimension ref="B2:Q15"/>
  <sheetViews>
    <sheetView zoomScale="85" zoomScaleNormal="85" workbookViewId="0">
      <selection activeCell="D21" sqref="D21"/>
    </sheetView>
  </sheetViews>
  <sheetFormatPr defaultColWidth="8.640625" defaultRowHeight="17.600000000000001" x14ac:dyDescent="0.55000000000000004"/>
  <cols>
    <col min="1" max="3" width="8.640625" style="2"/>
    <col min="4" max="7" width="22" style="2" customWidth="1"/>
    <col min="8" max="10" width="8.640625" style="2"/>
    <col min="18" max="16384" width="8.640625" style="2"/>
  </cols>
  <sheetData>
    <row r="2" spans="2:7" x14ac:dyDescent="0.55000000000000004">
      <c r="B2" s="2" t="s">
        <v>12</v>
      </c>
    </row>
    <row r="5" spans="2:7" x14ac:dyDescent="0.55000000000000004">
      <c r="B5" s="1" t="s">
        <v>10</v>
      </c>
      <c r="C5" s="1" t="s">
        <v>11</v>
      </c>
      <c r="D5" s="1" t="s">
        <v>1</v>
      </c>
      <c r="E5" s="1" t="s">
        <v>14</v>
      </c>
      <c r="F5" s="1" t="s">
        <v>15</v>
      </c>
      <c r="G5" s="1" t="s">
        <v>13</v>
      </c>
    </row>
    <row r="6" spans="2:7" x14ac:dyDescent="0.55000000000000004">
      <c r="B6" s="13">
        <v>8</v>
      </c>
      <c r="C6" s="1">
        <v>8</v>
      </c>
      <c r="D6" s="4">
        <v>1.231E-2</v>
      </c>
      <c r="E6" s="4">
        <v>4.5999999999999999E-3</v>
      </c>
      <c r="F6" s="4">
        <v>0.6431</v>
      </c>
      <c r="G6" s="4">
        <v>2.1610000000000001E-2</v>
      </c>
    </row>
    <row r="7" spans="2:7" x14ac:dyDescent="0.55000000000000004">
      <c r="B7" s="13"/>
      <c r="C7" s="1">
        <v>16</v>
      </c>
      <c r="D7" s="4">
        <v>1.18E-2</v>
      </c>
      <c r="E7" s="4">
        <v>3.7100000000000002E-3</v>
      </c>
      <c r="F7" s="4">
        <v>0.54100000000000004</v>
      </c>
      <c r="G7" s="4">
        <v>0.02</v>
      </c>
    </row>
    <row r="8" spans="2:7" x14ac:dyDescent="0.55000000000000004">
      <c r="B8" s="13">
        <v>16</v>
      </c>
      <c r="C8" s="1">
        <v>8</v>
      </c>
      <c r="D8" s="4">
        <v>3.3E-3</v>
      </c>
      <c r="E8" s="4">
        <v>3.5399999999999999E-4</v>
      </c>
      <c r="F8" s="4">
        <v>0.192</v>
      </c>
      <c r="G8" s="4">
        <v>4.8900000000000002E-3</v>
      </c>
    </row>
    <row r="9" spans="2:7" x14ac:dyDescent="0.55000000000000004">
      <c r="B9" s="13"/>
      <c r="C9" s="1">
        <v>16</v>
      </c>
      <c r="D9" s="4">
        <v>2.9499999999999999E-3</v>
      </c>
      <c r="E9" s="4">
        <v>3.7800000000000003E-4</v>
      </c>
      <c r="F9" s="4">
        <v>0.129</v>
      </c>
      <c r="G9" s="4">
        <v>4.2100000000000002E-3</v>
      </c>
    </row>
    <row r="10" spans="2:7" x14ac:dyDescent="0.55000000000000004">
      <c r="B10" s="13">
        <v>32</v>
      </c>
      <c r="C10" s="1">
        <v>8</v>
      </c>
      <c r="D10" s="4">
        <v>6.1300000000000005E-4</v>
      </c>
      <c r="E10" s="4">
        <v>8.5500000000000005E-5</v>
      </c>
      <c r="F10" s="4">
        <v>3.4299999999999997E-2</v>
      </c>
      <c r="G10" s="4">
        <v>1.64E-3</v>
      </c>
    </row>
    <row r="11" spans="2:7" x14ac:dyDescent="0.55000000000000004">
      <c r="B11" s="13"/>
      <c r="C11" s="1">
        <v>16</v>
      </c>
      <c r="D11" s="5">
        <v>4.8099999999999998E-4</v>
      </c>
      <c r="E11" s="5">
        <v>8.1500000000000002E-5</v>
      </c>
      <c r="F11" s="4">
        <v>2.8799999999999999E-2</v>
      </c>
      <c r="G11" s="4">
        <v>1.157E-3</v>
      </c>
    </row>
    <row r="12" spans="2:7" x14ac:dyDescent="0.55000000000000004">
      <c r="B12" s="13">
        <v>64</v>
      </c>
      <c r="C12" s="1">
        <v>8</v>
      </c>
      <c r="D12" s="10">
        <v>3.3599999999999998E-4</v>
      </c>
      <c r="E12" s="10">
        <v>3.8000000000000002E-5</v>
      </c>
      <c r="F12" s="4">
        <v>1.7399999999999999E-2</v>
      </c>
      <c r="G12" s="4">
        <v>5.8399999999999999E-4</v>
      </c>
    </row>
    <row r="13" spans="2:7" x14ac:dyDescent="0.55000000000000004">
      <c r="B13" s="13"/>
      <c r="C13" s="1">
        <v>16</v>
      </c>
      <c r="D13" s="4">
        <v>3.1199999999999999E-4</v>
      </c>
      <c r="E13" s="4">
        <v>3.7100000000000001E-5</v>
      </c>
      <c r="F13" s="4">
        <v>1.17E-2</v>
      </c>
      <c r="G13" s="5">
        <v>4.4499999999999997E-4</v>
      </c>
    </row>
    <row r="14" spans="2:7" x14ac:dyDescent="0.55000000000000004">
      <c r="B14" s="13">
        <v>128</v>
      </c>
      <c r="C14" s="1">
        <v>8</v>
      </c>
      <c r="D14" s="4">
        <v>1.9799999999999999E-4</v>
      </c>
      <c r="E14" s="4">
        <v>3.4799999999999999E-5</v>
      </c>
      <c r="F14" s="4">
        <v>7.9500000000000005E-3</v>
      </c>
      <c r="G14" s="4">
        <v>2.61E-4</v>
      </c>
    </row>
    <row r="15" spans="2:7" x14ac:dyDescent="0.55000000000000004">
      <c r="B15" s="13"/>
      <c r="C15" s="1">
        <v>16</v>
      </c>
      <c r="D15" s="4">
        <v>1.7699999999999999E-4</v>
      </c>
      <c r="E15" s="4">
        <v>3.4400000000000003E-5</v>
      </c>
      <c r="F15" s="5">
        <v>6.7999999999999996E-3</v>
      </c>
      <c r="G15" s="4">
        <v>2.5000000000000001E-4</v>
      </c>
    </row>
  </sheetData>
  <mergeCells count="5">
    <mergeCell ref="B6:B7"/>
    <mergeCell ref="B8:B9"/>
    <mergeCell ref="B10:B11"/>
    <mergeCell ref="B12:B13"/>
    <mergeCell ref="B14:B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6422-236B-4D87-BD7F-E226CE230671}">
  <dimension ref="B3:X10"/>
  <sheetViews>
    <sheetView tabSelected="1" zoomScale="85" zoomScaleNormal="85" workbookViewId="0">
      <selection activeCell="E16" sqref="E16"/>
    </sheetView>
  </sheetViews>
  <sheetFormatPr defaultColWidth="8.640625" defaultRowHeight="17.600000000000001" x14ac:dyDescent="0.55000000000000004"/>
  <cols>
    <col min="1" max="2" width="8.640625" style="2"/>
    <col min="3" max="3" width="16.140625" style="2" bestFit="1" customWidth="1"/>
    <col min="4" max="6" width="8.640625" style="2"/>
    <col min="7" max="7" width="15.640625" style="2" customWidth="1"/>
    <col min="8" max="8" width="13.640625" style="9" bestFit="1" customWidth="1"/>
    <col min="9" max="9" width="15.7109375" style="2" customWidth="1"/>
    <col min="10" max="15" width="8.640625" style="2"/>
    <col min="25" max="16384" width="8.640625" style="2"/>
  </cols>
  <sheetData>
    <row r="3" spans="2:9" x14ac:dyDescent="0.55000000000000004">
      <c r="B3" s="12" t="s">
        <v>7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7" t="s">
        <v>8</v>
      </c>
      <c r="I3" s="12" t="s">
        <v>20</v>
      </c>
    </row>
    <row r="4" spans="2:9" x14ac:dyDescent="0.55000000000000004">
      <c r="B4" s="12">
        <v>1</v>
      </c>
      <c r="C4" s="13" t="s">
        <v>9</v>
      </c>
      <c r="D4" s="13"/>
      <c r="E4" s="13"/>
      <c r="F4" s="13"/>
      <c r="G4" s="13"/>
      <c r="H4" s="7">
        <f>0.565*2</f>
        <v>1.1299999999999999</v>
      </c>
      <c r="I4" s="12"/>
    </row>
    <row r="5" spans="2:9" x14ac:dyDescent="0.55000000000000004">
      <c r="B5" s="12">
        <v>2</v>
      </c>
      <c r="C5" s="12">
        <v>8</v>
      </c>
      <c r="D5" s="12">
        <v>8</v>
      </c>
      <c r="E5" s="12">
        <v>8</v>
      </c>
      <c r="F5" s="12">
        <v>8</v>
      </c>
      <c r="G5" s="12">
        <v>8</v>
      </c>
      <c r="H5" s="7">
        <f t="shared" ref="H5:H10" si="0">$H$4*100/(100-I5)</f>
        <v>1.2583518930957682</v>
      </c>
      <c r="I5" s="12">
        <v>10.199999999999999</v>
      </c>
    </row>
    <row r="6" spans="2:9" x14ac:dyDescent="0.55000000000000004">
      <c r="B6" s="12">
        <v>3</v>
      </c>
      <c r="C6" s="12">
        <v>8</v>
      </c>
      <c r="D6" s="12">
        <v>8</v>
      </c>
      <c r="E6" s="12">
        <v>8</v>
      </c>
      <c r="F6" s="12">
        <v>8</v>
      </c>
      <c r="G6" s="12">
        <v>16</v>
      </c>
      <c r="H6" s="7">
        <f t="shared" si="0"/>
        <v>1.1472081218274111</v>
      </c>
      <c r="I6" s="12">
        <v>1.5</v>
      </c>
    </row>
    <row r="7" spans="2:9" x14ac:dyDescent="0.55000000000000004">
      <c r="B7" s="3">
        <v>4</v>
      </c>
      <c r="C7" s="3">
        <v>8</v>
      </c>
      <c r="D7" s="3">
        <v>4</v>
      </c>
      <c r="E7" s="3">
        <v>4</v>
      </c>
      <c r="F7" s="3">
        <v>8</v>
      </c>
      <c r="G7" s="3">
        <v>16</v>
      </c>
      <c r="H7" s="8">
        <f t="shared" si="0"/>
        <v>1.1577868852459015</v>
      </c>
      <c r="I7" s="3">
        <v>2.4</v>
      </c>
    </row>
    <row r="8" spans="2:9" x14ac:dyDescent="0.55000000000000004">
      <c r="B8" s="12">
        <v>5</v>
      </c>
      <c r="C8" s="12">
        <v>4</v>
      </c>
      <c r="D8" s="12">
        <v>4</v>
      </c>
      <c r="E8" s="12">
        <v>4</v>
      </c>
      <c r="F8" s="12">
        <v>8</v>
      </c>
      <c r="G8" s="12">
        <v>16</v>
      </c>
      <c r="H8" s="7">
        <f t="shared" si="0"/>
        <v>1.2322791712104688</v>
      </c>
      <c r="I8" s="12">
        <v>8.3000000000000007</v>
      </c>
    </row>
    <row r="9" spans="2:9" x14ac:dyDescent="0.55000000000000004">
      <c r="B9" s="12">
        <v>6</v>
      </c>
      <c r="C9" s="12">
        <v>8</v>
      </c>
      <c r="D9" s="12">
        <v>4</v>
      </c>
      <c r="E9" s="12">
        <v>4</v>
      </c>
      <c r="F9" s="12">
        <v>4</v>
      </c>
      <c r="G9" s="12">
        <v>16</v>
      </c>
      <c r="H9" s="7">
        <f t="shared" si="0"/>
        <v>1.2255965292841646</v>
      </c>
      <c r="I9" s="12">
        <v>7.8</v>
      </c>
    </row>
    <row r="10" spans="2:9" x14ac:dyDescent="0.55000000000000004">
      <c r="B10" s="12">
        <v>7</v>
      </c>
      <c r="C10" s="12">
        <v>8</v>
      </c>
      <c r="D10" s="12">
        <v>4</v>
      </c>
      <c r="E10" s="12">
        <v>4</v>
      </c>
      <c r="F10" s="12">
        <v>8</v>
      </c>
      <c r="G10" s="12">
        <v>8</v>
      </c>
      <c r="H10" s="7">
        <f t="shared" si="0"/>
        <v>1.2811791383219953</v>
      </c>
      <c r="I10" s="12">
        <v>11.8</v>
      </c>
    </row>
  </sheetData>
  <mergeCells count="1">
    <mergeCell ref="C4:G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49FA-E9A0-4920-AB74-C830ED20ADB9}">
  <dimension ref="B3:K8"/>
  <sheetViews>
    <sheetView workbookViewId="0">
      <selection activeCell="N13" sqref="N13"/>
    </sheetView>
  </sheetViews>
  <sheetFormatPr defaultRowHeight="17.600000000000001" x14ac:dyDescent="0.55000000000000004"/>
  <cols>
    <col min="2" max="2" width="16.28515625" bestFit="1" customWidth="1"/>
    <col min="3" max="9" width="10.28515625" customWidth="1"/>
    <col min="10" max="10" width="14.5703125" customWidth="1"/>
    <col min="11" max="11" width="16.78515625" customWidth="1"/>
  </cols>
  <sheetData>
    <row r="3" spans="2:11" x14ac:dyDescent="0.55000000000000004">
      <c r="B3" s="13" t="s">
        <v>29</v>
      </c>
      <c r="C3" s="13" t="s">
        <v>28</v>
      </c>
      <c r="D3" s="13"/>
      <c r="E3" s="13"/>
      <c r="F3" s="13"/>
      <c r="G3" s="13"/>
      <c r="H3" s="13" t="s">
        <v>21</v>
      </c>
      <c r="I3" s="13"/>
      <c r="J3" s="14" t="s">
        <v>30</v>
      </c>
      <c r="K3" s="14" t="s">
        <v>31</v>
      </c>
    </row>
    <row r="4" spans="2:11" x14ac:dyDescent="0.55000000000000004">
      <c r="B4" s="13"/>
      <c r="C4" s="11" t="s">
        <v>17</v>
      </c>
      <c r="D4" s="11" t="s">
        <v>16</v>
      </c>
      <c r="E4" s="11" t="s">
        <v>18</v>
      </c>
      <c r="F4" s="11" t="s">
        <v>19</v>
      </c>
      <c r="G4" s="11" t="s">
        <v>0</v>
      </c>
      <c r="H4" s="11" t="s">
        <v>22</v>
      </c>
      <c r="I4" s="11" t="s">
        <v>23</v>
      </c>
      <c r="J4" s="13"/>
      <c r="K4" s="13"/>
    </row>
    <row r="5" spans="2:11" x14ac:dyDescent="0.55000000000000004">
      <c r="B5" s="11" t="s">
        <v>24</v>
      </c>
      <c r="C5" s="6">
        <v>145</v>
      </c>
      <c r="D5" s="6">
        <v>227</v>
      </c>
      <c r="E5" s="6">
        <v>814</v>
      </c>
      <c r="F5" s="6">
        <v>184</v>
      </c>
      <c r="G5" s="6">
        <v>12</v>
      </c>
      <c r="H5" s="6">
        <v>2.5489999999999999</v>
      </c>
      <c r="I5" s="11">
        <v>2.0990000000000002</v>
      </c>
      <c r="J5" s="11">
        <v>0.78400000000000003</v>
      </c>
      <c r="K5" s="11">
        <v>0.45900000000000002</v>
      </c>
    </row>
    <row r="6" spans="2:11" x14ac:dyDescent="0.55000000000000004">
      <c r="B6" s="11" t="s">
        <v>25</v>
      </c>
      <c r="C6" s="11">
        <f>C5*3.3</f>
        <v>478.5</v>
      </c>
      <c r="D6" s="11">
        <f>D5*4.4</f>
        <v>998.80000000000007</v>
      </c>
      <c r="E6" s="11">
        <v>3402</v>
      </c>
      <c r="F6" s="11">
        <v>730</v>
      </c>
      <c r="G6" s="11">
        <f>G5*2.5</f>
        <v>30</v>
      </c>
      <c r="H6" s="11">
        <v>2.778</v>
      </c>
      <c r="I6" s="11">
        <v>12.13</v>
      </c>
      <c r="J6" s="11">
        <v>5.96</v>
      </c>
      <c r="K6" s="11">
        <v>3.57</v>
      </c>
    </row>
    <row r="7" spans="2:11" x14ac:dyDescent="0.55000000000000004">
      <c r="B7" s="11" t="s">
        <v>27</v>
      </c>
      <c r="C7" s="11">
        <v>3.3</v>
      </c>
      <c r="D7" s="11">
        <f>D6/D5</f>
        <v>4.4000000000000004</v>
      </c>
      <c r="E7" s="11">
        <v>4.18</v>
      </c>
      <c r="F7" s="11">
        <v>3.97</v>
      </c>
      <c r="G7" s="11">
        <v>30</v>
      </c>
      <c r="H7" s="11">
        <v>1.0900000000000001</v>
      </c>
      <c r="I7" s="11">
        <v>5.78</v>
      </c>
      <c r="J7" s="11">
        <v>7.6</v>
      </c>
      <c r="K7" s="11">
        <v>7.8</v>
      </c>
    </row>
    <row r="8" spans="2:11" x14ac:dyDescent="0.55000000000000004">
      <c r="B8" s="11" t="s">
        <v>26</v>
      </c>
      <c r="C8" s="11">
        <v>230.4</v>
      </c>
      <c r="D8" s="11">
        <v>460.8</v>
      </c>
      <c r="E8" s="11">
        <v>1728</v>
      </c>
      <c r="F8" s="11">
        <v>312</v>
      </c>
      <c r="G8" s="11">
        <v>96</v>
      </c>
      <c r="H8" s="11" t="s">
        <v>29</v>
      </c>
      <c r="I8" s="11" t="s">
        <v>29</v>
      </c>
      <c r="J8" s="11" t="s">
        <v>29</v>
      </c>
      <c r="K8" s="11" t="s">
        <v>29</v>
      </c>
    </row>
  </sheetData>
  <mergeCells count="5">
    <mergeCell ref="B3:B4"/>
    <mergeCell ref="C3:G3"/>
    <mergeCell ref="H3:I3"/>
    <mergeCell ref="J3:J4"/>
    <mergeCell ref="K3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(Q) LUT-Entry</vt:lpstr>
      <vt:lpstr>(Q) Bit-sweep</vt:lpstr>
      <vt:lpstr>(Q) FP32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2026-06-30T12:40:07Z</dcterms:modified>
</cp:coreProperties>
</file>