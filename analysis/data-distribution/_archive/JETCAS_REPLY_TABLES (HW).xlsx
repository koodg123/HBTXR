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TASET\codes\"/>
    </mc:Choice>
  </mc:AlternateContent>
  <xr:revisionPtr revIDLastSave="0" documentId="13_ncr:1_{C59572A7-B2FC-4DCD-A4A8-46057AD36450}" xr6:coauthVersionLast="47" xr6:coauthVersionMax="47" xr10:uidLastSave="{00000000-0000-0000-0000-000000000000}"/>
  <bookViews>
    <workbookView xWindow="-120" yWindow="-120" windowWidth="29040" windowHeight="15720" activeTab="2" xr2:uid="{EBC93B65-0C6B-4B06-94FC-426BE16C9BF5}"/>
  </bookViews>
  <sheets>
    <sheet name="(HW) Resources" sheetId="6" r:id="rId1"/>
    <sheet name="(HW) Power" sheetId="8" r:id="rId2"/>
    <sheet name="(HW) Latency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7" l="1"/>
  <c r="D20" i="7"/>
  <c r="E20" i="7"/>
  <c r="F20" i="7"/>
  <c r="G20" i="7"/>
  <c r="H20" i="7"/>
  <c r="I20" i="7"/>
  <c r="J20" i="7"/>
  <c r="K20" i="7"/>
  <c r="L20" i="7"/>
  <c r="M20" i="7"/>
  <c r="N20" i="7"/>
  <c r="C20" i="7"/>
  <c r="E4" i="8"/>
  <c r="E11" i="8"/>
  <c r="E10" i="8"/>
  <c r="E7" i="8"/>
  <c r="E14" i="8" l="1"/>
</calcChain>
</file>

<file path=xl/sharedStrings.xml><?xml version="1.0" encoding="utf-8"?>
<sst xmlns="http://schemas.openxmlformats.org/spreadsheetml/2006/main" count="80" uniqueCount="72">
  <si>
    <t>LayerNorm</t>
    <phoneticPr fontId="1" type="noConversion"/>
  </si>
  <si>
    <t>URAM</t>
    <phoneticPr fontId="1" type="noConversion"/>
  </si>
  <si>
    <t>GELU</t>
    <phoneticPr fontId="1" type="noConversion"/>
  </si>
  <si>
    <t>Softmax</t>
    <phoneticPr fontId="1" type="noConversion"/>
  </si>
  <si>
    <t>FFs</t>
    <phoneticPr fontId="1" type="noConversion"/>
  </si>
  <si>
    <t>LUTs (K)</t>
    <phoneticPr fontId="1" type="noConversion"/>
  </si>
  <si>
    <t>DSPs</t>
    <phoneticPr fontId="1" type="noConversion"/>
  </si>
  <si>
    <t>BRAM36K</t>
    <phoneticPr fontId="1" type="noConversion"/>
  </si>
  <si>
    <t>Unit</t>
    <phoneticPr fontId="1" type="noConversion"/>
  </si>
  <si>
    <t>DMA</t>
    <phoneticPr fontId="1" type="noConversion"/>
  </si>
  <si>
    <t>AXI</t>
    <phoneticPr fontId="1" type="noConversion"/>
  </si>
  <si>
    <t>Controller</t>
    <phoneticPr fontId="1" type="noConversion"/>
  </si>
  <si>
    <t>Global Buffer</t>
    <phoneticPr fontId="1" type="noConversion"/>
  </si>
  <si>
    <t>Patch Embedding Core</t>
    <phoneticPr fontId="1" type="noConversion"/>
  </si>
  <si>
    <t>Head Core</t>
    <phoneticPr fontId="1" type="noConversion"/>
  </si>
  <si>
    <t>Total</t>
    <phoneticPr fontId="1" type="noConversion"/>
  </si>
  <si>
    <t>Available</t>
    <phoneticPr fontId="1" type="noConversion"/>
  </si>
  <si>
    <t>MHA Core x 2</t>
    <phoneticPr fontId="1" type="noConversion"/>
  </si>
  <si>
    <t>MLP Core x 2</t>
    <phoneticPr fontId="1" type="noConversion"/>
  </si>
  <si>
    <t>* WEIGHT_ROM과 NON_LINEAR_LUT는 GLOBAL BUFFER에 통합되어 있음</t>
    <phoneticPr fontId="1" type="noConversion"/>
  </si>
  <si>
    <t>RMU-Q</t>
    <phoneticPr fontId="1" type="noConversion"/>
  </si>
  <si>
    <t>RMU-K</t>
    <phoneticPr fontId="1" type="noConversion"/>
  </si>
  <si>
    <t>RMU-V</t>
    <phoneticPr fontId="1" type="noConversion"/>
  </si>
  <si>
    <t>RMU-FC1</t>
    <phoneticPr fontId="1" type="noConversion"/>
  </si>
  <si>
    <t>RMU-FC2</t>
    <phoneticPr fontId="1" type="noConversion"/>
  </si>
  <si>
    <t>SMU-QK</t>
    <phoneticPr fontId="1" type="noConversion"/>
  </si>
  <si>
    <t>SMU-SV</t>
    <phoneticPr fontId="1" type="noConversion"/>
  </si>
  <si>
    <t>RES</t>
    <phoneticPr fontId="1" type="noConversion"/>
  </si>
  <si>
    <t>RMU-O</t>
    <phoneticPr fontId="1" type="noConversion"/>
  </si>
  <si>
    <t>Core-level Module</t>
    <phoneticPr fontId="1" type="noConversion"/>
  </si>
  <si>
    <t>Core</t>
    <phoneticPr fontId="1" type="noConversion"/>
  </si>
  <si>
    <t>MHA Core</t>
    <phoneticPr fontId="1" type="noConversion"/>
  </si>
  <si>
    <t>MLP Core</t>
    <phoneticPr fontId="1" type="noConversion"/>
  </si>
  <si>
    <t>Scope</t>
    <phoneticPr fontId="1" type="noConversion"/>
  </si>
  <si>
    <t>Power</t>
    <phoneticPr fontId="1" type="noConversion"/>
  </si>
  <si>
    <t>Static</t>
    <phoneticPr fontId="1" type="noConversion"/>
  </si>
  <si>
    <t>Dynamic</t>
    <phoneticPr fontId="1" type="noConversion"/>
  </si>
  <si>
    <t>PS</t>
    <phoneticPr fontId="1" type="noConversion"/>
  </si>
  <si>
    <t>PL</t>
    <phoneticPr fontId="1" type="noConversion"/>
  </si>
  <si>
    <t>Type</t>
    <phoneticPr fontId="1" type="noConversion"/>
  </si>
  <si>
    <t>Region</t>
    <phoneticPr fontId="1" type="noConversion"/>
  </si>
  <si>
    <t>ARM</t>
    <phoneticPr fontId="1" type="noConversion"/>
  </si>
  <si>
    <t>DRAM</t>
    <phoneticPr fontId="1" type="noConversion"/>
  </si>
  <si>
    <t>BUS (AXI)</t>
    <phoneticPr fontId="1" type="noConversion"/>
  </si>
  <si>
    <t>ACCELERATOR</t>
    <phoneticPr fontId="1" type="noConversion"/>
  </si>
  <si>
    <t>Full Chip Power</t>
    <phoneticPr fontId="1" type="noConversion"/>
  </si>
  <si>
    <t>Cortex-A53 : 1.0GHz, DDR : 535.5MHz, PL : 300MHz</t>
    <phoneticPr fontId="1" type="noConversion"/>
  </si>
  <si>
    <t>Testset</t>
    <phoneticPr fontId="1" type="noConversion"/>
  </si>
  <si>
    <t>Subject</t>
    <phoneticPr fontId="1" type="noConversion"/>
  </si>
  <si>
    <t>Search Ratio (R_S)</t>
    <phoneticPr fontId="1" type="noConversion"/>
  </si>
  <si>
    <t>Track Ratio (R_T)</t>
    <phoneticPr fontId="1" type="noConversion"/>
  </si>
  <si>
    <t>Avg. Track Latency (L_T)</t>
    <phoneticPr fontId="1" type="noConversion"/>
  </si>
  <si>
    <t>Avg. Search Latency (L_S)</t>
    <phoneticPr fontId="1" type="noConversion"/>
  </si>
  <si>
    <t>Throughput (GOPS_T)</t>
    <phoneticPr fontId="1" type="noConversion"/>
  </si>
  <si>
    <t>Initial Interval (II_T)</t>
    <phoneticPr fontId="1" type="noConversion"/>
  </si>
  <si>
    <t>Worst-case Latency (L_(T,max))</t>
    <phoneticPr fontId="1" type="noConversion"/>
  </si>
  <si>
    <t>Worst-case Latency (L_(S,max))</t>
    <phoneticPr fontId="1" type="noConversion"/>
  </si>
  <si>
    <t>Throughput (GOPS_S)</t>
    <phoneticPr fontId="1" type="noConversion"/>
  </si>
  <si>
    <t>Initial Interval (II_S)</t>
    <phoneticPr fontId="1" type="noConversion"/>
  </si>
  <si>
    <t>Track</t>
    <phoneticPr fontId="1" type="noConversion"/>
  </si>
  <si>
    <t>Search</t>
    <phoneticPr fontId="1" type="noConversion"/>
  </si>
  <si>
    <t>95th Percentil Latency (L_S_95)</t>
    <phoneticPr fontId="1" type="noConversion"/>
  </si>
  <si>
    <t>99th Percentil Latency (L_S_99)</t>
    <phoneticPr fontId="1" type="noConversion"/>
  </si>
  <si>
    <t>95th Percentil Latency (L_T_95)</t>
    <phoneticPr fontId="1" type="noConversion"/>
  </si>
  <si>
    <t>99th Percentil Latency (L_T_99)</t>
    <phoneticPr fontId="1" type="noConversion"/>
  </si>
  <si>
    <t>Track Invocation (I_T)</t>
    <phoneticPr fontId="1" type="noConversion"/>
  </si>
  <si>
    <t>Search Invocation (I_S)</t>
    <phoneticPr fontId="1" type="noConversion"/>
  </si>
  <si>
    <t>#Frames (N_F)</t>
    <phoneticPr fontId="1" type="noConversion"/>
  </si>
  <si>
    <t>#Events (N_E)</t>
    <phoneticPr fontId="1" type="noConversion"/>
  </si>
  <si>
    <t>Best-case Latency (L_(T,min))</t>
    <phoneticPr fontId="1" type="noConversion"/>
  </si>
  <si>
    <t>Best-case Latency (L_(S,min))</t>
    <phoneticPr fontId="1" type="noConversion"/>
  </si>
  <si>
    <t># Events Voxels (N_EV)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</si>
</sst>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0.000"/>
    <numFmt numFmtId="178" formatCode="0.0_ "/>
  </numFmts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2EA89-4BE6-4509-8CDF-F3EA19C0FD0B}">
  <dimension ref="B2:H28"/>
  <sheetViews>
    <sheetView zoomScaleNormal="100" workbookViewId="0">
      <selection activeCell="J29" sqref="J29"/>
    </sheetView>
  </sheetViews>
  <sheetFormatPr defaultColWidth="9" defaultRowHeight="16.5" x14ac:dyDescent="0.3"/>
  <cols>
    <col min="1" max="1" width="9" style="2"/>
    <col min="2" max="3" width="14.25" style="2" customWidth="1"/>
    <col min="4" max="8" width="10.25" style="2" customWidth="1"/>
    <col min="9" max="16384" width="9" style="2"/>
  </cols>
  <sheetData>
    <row r="2" spans="2:8" x14ac:dyDescent="0.3">
      <c r="B2" s="2" t="s">
        <v>29</v>
      </c>
    </row>
    <row r="3" spans="2:8" x14ac:dyDescent="0.3">
      <c r="B3" s="1" t="s">
        <v>30</v>
      </c>
      <c r="C3" s="1" t="s">
        <v>8</v>
      </c>
      <c r="D3" s="1" t="s">
        <v>5</v>
      </c>
      <c r="E3" s="1" t="s">
        <v>4</v>
      </c>
      <c r="F3" s="1" t="s">
        <v>6</v>
      </c>
      <c r="G3" s="1" t="s">
        <v>7</v>
      </c>
      <c r="H3" s="1" t="s">
        <v>1</v>
      </c>
    </row>
    <row r="4" spans="2:8" x14ac:dyDescent="0.3">
      <c r="B4" s="10" t="s">
        <v>9</v>
      </c>
      <c r="C4" s="11"/>
      <c r="D4" s="3">
        <v>4.2</v>
      </c>
      <c r="E4" s="3">
        <v>8.9</v>
      </c>
      <c r="F4" s="3">
        <v>0</v>
      </c>
      <c r="G4" s="3">
        <v>6</v>
      </c>
      <c r="H4" s="3">
        <v>0</v>
      </c>
    </row>
    <row r="5" spans="2:8" x14ac:dyDescent="0.3">
      <c r="B5" s="10" t="s">
        <v>10</v>
      </c>
      <c r="C5" s="11"/>
      <c r="D5" s="3">
        <v>5.7</v>
      </c>
      <c r="E5" s="3">
        <v>11.5</v>
      </c>
      <c r="F5" s="3">
        <v>0</v>
      </c>
      <c r="G5" s="3">
        <v>0</v>
      </c>
      <c r="H5" s="3">
        <v>0</v>
      </c>
    </row>
    <row r="6" spans="2:8" x14ac:dyDescent="0.3">
      <c r="B6" s="10" t="s">
        <v>11</v>
      </c>
      <c r="C6" s="11"/>
      <c r="D6" s="3">
        <v>7.4</v>
      </c>
      <c r="E6" s="3">
        <v>16.2</v>
      </c>
      <c r="F6" s="3">
        <v>0</v>
      </c>
      <c r="G6" s="3">
        <v>0</v>
      </c>
      <c r="H6" s="3">
        <v>0</v>
      </c>
    </row>
    <row r="7" spans="2:8" x14ac:dyDescent="0.3">
      <c r="B7" s="10" t="s">
        <v>12</v>
      </c>
      <c r="C7" s="11"/>
      <c r="D7" s="3">
        <v>6.5</v>
      </c>
      <c r="E7" s="3">
        <v>12.2</v>
      </c>
      <c r="F7" s="3">
        <v>0</v>
      </c>
      <c r="G7" s="3">
        <v>60</v>
      </c>
      <c r="H7" s="3">
        <v>0</v>
      </c>
    </row>
    <row r="8" spans="2:8" x14ac:dyDescent="0.3">
      <c r="B8" s="10" t="s">
        <v>17</v>
      </c>
      <c r="C8" s="11"/>
      <c r="D8" s="3">
        <v>55.4</v>
      </c>
      <c r="E8" s="3">
        <v>75.5</v>
      </c>
      <c r="F8" s="3">
        <v>390</v>
      </c>
      <c r="G8" s="3">
        <v>48</v>
      </c>
      <c r="H8" s="3">
        <v>6</v>
      </c>
    </row>
    <row r="9" spans="2:8" x14ac:dyDescent="0.3">
      <c r="B9" s="13" t="s">
        <v>31</v>
      </c>
      <c r="C9" s="1" t="s">
        <v>0</v>
      </c>
      <c r="D9" s="1">
        <v>1.1000000000000001</v>
      </c>
      <c r="E9" s="1">
        <v>1.5</v>
      </c>
      <c r="F9" s="1">
        <v>4</v>
      </c>
      <c r="G9" s="1">
        <v>0</v>
      </c>
      <c r="H9" s="1">
        <v>0</v>
      </c>
    </row>
    <row r="10" spans="2:8" x14ac:dyDescent="0.3">
      <c r="B10" s="14"/>
      <c r="C10" s="1" t="s">
        <v>20</v>
      </c>
      <c r="D10" s="1">
        <v>3.3</v>
      </c>
      <c r="E10" s="1">
        <v>4.5</v>
      </c>
      <c r="F10" s="1">
        <v>24</v>
      </c>
      <c r="G10" s="1">
        <v>4</v>
      </c>
      <c r="H10" s="1">
        <v>0</v>
      </c>
    </row>
    <row r="11" spans="2:8" x14ac:dyDescent="0.3">
      <c r="B11" s="14"/>
      <c r="C11" s="1" t="s">
        <v>21</v>
      </c>
      <c r="D11" s="1">
        <v>3.3</v>
      </c>
      <c r="E11" s="1">
        <v>4.5</v>
      </c>
      <c r="F11" s="1">
        <v>24</v>
      </c>
      <c r="G11" s="1">
        <v>4</v>
      </c>
      <c r="H11" s="1">
        <v>0</v>
      </c>
    </row>
    <row r="12" spans="2:8" x14ac:dyDescent="0.3">
      <c r="B12" s="14"/>
      <c r="C12" s="1" t="s">
        <v>22</v>
      </c>
      <c r="D12" s="1">
        <v>2.1</v>
      </c>
      <c r="E12" s="1">
        <v>3.1</v>
      </c>
      <c r="F12" s="1">
        <v>24</v>
      </c>
      <c r="G12" s="1">
        <v>4</v>
      </c>
      <c r="H12" s="1">
        <v>0</v>
      </c>
    </row>
    <row r="13" spans="2:8" x14ac:dyDescent="0.3">
      <c r="B13" s="14"/>
      <c r="C13" s="1" t="s">
        <v>25</v>
      </c>
      <c r="D13" s="1">
        <v>6.6</v>
      </c>
      <c r="E13" s="1">
        <v>9.1</v>
      </c>
      <c r="F13" s="1">
        <v>42</v>
      </c>
      <c r="G13" s="1">
        <v>4</v>
      </c>
      <c r="H13" s="1">
        <v>0</v>
      </c>
    </row>
    <row r="14" spans="2:8" x14ac:dyDescent="0.3">
      <c r="B14" s="14"/>
      <c r="C14" s="1" t="s">
        <v>3</v>
      </c>
      <c r="D14" s="1">
        <v>1.2</v>
      </c>
      <c r="E14" s="1">
        <v>1.1000000000000001</v>
      </c>
      <c r="F14" s="1">
        <v>7</v>
      </c>
      <c r="G14" s="1">
        <v>0</v>
      </c>
      <c r="H14" s="1">
        <v>0</v>
      </c>
    </row>
    <row r="15" spans="2:8" x14ac:dyDescent="0.3">
      <c r="B15" s="14"/>
      <c r="C15" s="1" t="s">
        <v>26</v>
      </c>
      <c r="D15" s="1">
        <v>5.5</v>
      </c>
      <c r="E15" s="1">
        <v>7.5</v>
      </c>
      <c r="F15" s="1">
        <v>42</v>
      </c>
      <c r="G15" s="1">
        <v>4</v>
      </c>
      <c r="H15" s="1">
        <v>1</v>
      </c>
    </row>
    <row r="16" spans="2:8" x14ac:dyDescent="0.3">
      <c r="B16" s="14"/>
      <c r="C16" s="1" t="s">
        <v>28</v>
      </c>
      <c r="D16" s="1">
        <v>4.0999999999999996</v>
      </c>
      <c r="E16" s="1">
        <v>5.6</v>
      </c>
      <c r="F16" s="1">
        <v>24</v>
      </c>
      <c r="G16" s="1">
        <v>4</v>
      </c>
      <c r="H16" s="1">
        <v>0</v>
      </c>
    </row>
    <row r="17" spans="2:8" x14ac:dyDescent="0.3">
      <c r="B17" s="15"/>
      <c r="C17" s="1" t="s">
        <v>27</v>
      </c>
      <c r="D17" s="1">
        <v>0.5</v>
      </c>
      <c r="E17" s="1">
        <v>0.7</v>
      </c>
      <c r="F17" s="1">
        <v>4</v>
      </c>
      <c r="G17" s="1">
        <v>0</v>
      </c>
      <c r="H17" s="1">
        <v>2</v>
      </c>
    </row>
    <row r="18" spans="2:8" x14ac:dyDescent="0.3">
      <c r="B18" s="10" t="s">
        <v>18</v>
      </c>
      <c r="C18" s="11"/>
      <c r="D18" s="3">
        <v>41.2</v>
      </c>
      <c r="E18" s="3">
        <v>61.8</v>
      </c>
      <c r="F18" s="3">
        <v>304</v>
      </c>
      <c r="G18" s="3">
        <v>32</v>
      </c>
      <c r="H18" s="3">
        <v>4</v>
      </c>
    </row>
    <row r="19" spans="2:8" x14ac:dyDescent="0.3">
      <c r="B19" s="13" t="s">
        <v>32</v>
      </c>
      <c r="C19" s="1" t="s">
        <v>0</v>
      </c>
      <c r="D19" s="1">
        <v>1.6</v>
      </c>
      <c r="E19" s="1">
        <v>2.4</v>
      </c>
      <c r="F19" s="1">
        <v>4</v>
      </c>
      <c r="G19" s="1">
        <v>0</v>
      </c>
      <c r="H19" s="1">
        <v>0</v>
      </c>
    </row>
    <row r="20" spans="2:8" x14ac:dyDescent="0.3">
      <c r="B20" s="14"/>
      <c r="C20" s="1" t="s">
        <v>23</v>
      </c>
      <c r="D20" s="1">
        <v>8.1999999999999993</v>
      </c>
      <c r="E20" s="1">
        <v>12.3</v>
      </c>
      <c r="F20" s="1">
        <v>70</v>
      </c>
      <c r="G20" s="1">
        <v>8</v>
      </c>
      <c r="H20" s="1">
        <v>0</v>
      </c>
    </row>
    <row r="21" spans="2:8" x14ac:dyDescent="0.3">
      <c r="B21" s="14"/>
      <c r="C21" s="1" t="s">
        <v>24</v>
      </c>
      <c r="D21" s="1">
        <v>8.1999999999999993</v>
      </c>
      <c r="E21" s="1">
        <v>12.3</v>
      </c>
      <c r="F21" s="1">
        <v>70</v>
      </c>
      <c r="G21" s="1">
        <v>8</v>
      </c>
      <c r="H21" s="1">
        <v>0</v>
      </c>
    </row>
    <row r="22" spans="2:8" x14ac:dyDescent="0.3">
      <c r="B22" s="14"/>
      <c r="C22" s="1" t="s">
        <v>2</v>
      </c>
      <c r="D22" s="1">
        <v>1.6</v>
      </c>
      <c r="E22" s="1">
        <v>2.4</v>
      </c>
      <c r="F22" s="1">
        <v>4</v>
      </c>
      <c r="G22" s="1">
        <v>0</v>
      </c>
      <c r="H22" s="1">
        <v>0</v>
      </c>
    </row>
    <row r="23" spans="2:8" x14ac:dyDescent="0.3">
      <c r="B23" s="15"/>
      <c r="C23" s="1" t="s">
        <v>27</v>
      </c>
      <c r="D23" s="1">
        <v>0.8</v>
      </c>
      <c r="E23" s="1">
        <v>1.2</v>
      </c>
      <c r="F23" s="1">
        <v>4</v>
      </c>
      <c r="G23" s="1">
        <v>0</v>
      </c>
      <c r="H23" s="1">
        <v>2</v>
      </c>
    </row>
    <row r="24" spans="2:8" x14ac:dyDescent="0.3">
      <c r="B24" s="10" t="s">
        <v>13</v>
      </c>
      <c r="C24" s="11"/>
      <c r="D24" s="3">
        <v>11.4</v>
      </c>
      <c r="E24" s="3">
        <v>21.5</v>
      </c>
      <c r="F24" s="3">
        <v>72</v>
      </c>
      <c r="G24" s="3">
        <v>20</v>
      </c>
      <c r="H24" s="3">
        <v>1</v>
      </c>
    </row>
    <row r="25" spans="2:8" x14ac:dyDescent="0.3">
      <c r="B25" s="10" t="s">
        <v>14</v>
      </c>
      <c r="C25" s="11"/>
      <c r="D25" s="3">
        <v>13.2</v>
      </c>
      <c r="E25" s="3">
        <v>19.399999999999999</v>
      </c>
      <c r="F25" s="3">
        <v>48</v>
      </c>
      <c r="G25" s="3">
        <v>18</v>
      </c>
      <c r="H25" s="3">
        <v>1</v>
      </c>
    </row>
    <row r="26" spans="2:8" x14ac:dyDescent="0.3">
      <c r="B26" s="10" t="s">
        <v>15</v>
      </c>
      <c r="C26" s="11"/>
      <c r="D26" s="3">
        <v>145</v>
      </c>
      <c r="E26" s="3">
        <v>227</v>
      </c>
      <c r="F26" s="3">
        <v>814</v>
      </c>
      <c r="G26" s="3">
        <v>184</v>
      </c>
      <c r="H26" s="3">
        <v>12</v>
      </c>
    </row>
    <row r="27" spans="2:8" x14ac:dyDescent="0.3">
      <c r="B27" s="16" t="s">
        <v>16</v>
      </c>
      <c r="C27" s="17"/>
      <c r="D27" s="1">
        <v>230.4</v>
      </c>
      <c r="E27" s="1">
        <v>460.8</v>
      </c>
      <c r="F27" s="1">
        <v>1728</v>
      </c>
      <c r="G27" s="1">
        <v>312</v>
      </c>
      <c r="H27" s="1">
        <v>96</v>
      </c>
    </row>
    <row r="28" spans="2:8" x14ac:dyDescent="0.3">
      <c r="B28" s="12" t="s">
        <v>19</v>
      </c>
      <c r="C28" s="12"/>
      <c r="D28" s="12"/>
      <c r="E28" s="12"/>
      <c r="F28" s="12"/>
      <c r="G28" s="12"/>
      <c r="H28" s="12"/>
    </row>
  </sheetData>
  <mergeCells count="13">
    <mergeCell ref="B7:C7"/>
    <mergeCell ref="B6:C6"/>
    <mergeCell ref="B5:C5"/>
    <mergeCell ref="B4:C4"/>
    <mergeCell ref="B28:H28"/>
    <mergeCell ref="B9:B17"/>
    <mergeCell ref="B18:C18"/>
    <mergeCell ref="B8:C8"/>
    <mergeCell ref="B19:B23"/>
    <mergeCell ref="B24:C24"/>
    <mergeCell ref="B25:C25"/>
    <mergeCell ref="B26:C26"/>
    <mergeCell ref="B27:C27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88799-822C-4782-8474-A4330DDAD7B8}">
  <dimension ref="B3:E15"/>
  <sheetViews>
    <sheetView workbookViewId="0">
      <selection activeCell="K22" sqref="K22"/>
    </sheetView>
  </sheetViews>
  <sheetFormatPr defaultColWidth="9" defaultRowHeight="16.5" x14ac:dyDescent="0.3"/>
  <cols>
    <col min="1" max="1" width="9" style="2"/>
    <col min="2" max="2" width="15.125" style="2" customWidth="1"/>
    <col min="3" max="3" width="12.375" style="2" customWidth="1"/>
    <col min="4" max="4" width="14.375" style="2" customWidth="1"/>
    <col min="5" max="5" width="16.25" style="2" customWidth="1"/>
    <col min="6" max="16384" width="9" style="2"/>
  </cols>
  <sheetData>
    <row r="3" spans="2:5" x14ac:dyDescent="0.3">
      <c r="B3" s="1" t="s">
        <v>39</v>
      </c>
      <c r="C3" s="1" t="s">
        <v>40</v>
      </c>
      <c r="D3" s="1" t="s">
        <v>33</v>
      </c>
      <c r="E3" s="1" t="s">
        <v>34</v>
      </c>
    </row>
    <row r="4" spans="2:5" x14ac:dyDescent="0.3">
      <c r="B4" s="9" t="s">
        <v>35</v>
      </c>
      <c r="C4" s="16" t="s">
        <v>15</v>
      </c>
      <c r="D4" s="17"/>
      <c r="E4" s="1">
        <f>SUM(E5:E6)</f>
        <v>0.67299999999999993</v>
      </c>
    </row>
    <row r="5" spans="2:5" x14ac:dyDescent="0.3">
      <c r="B5" s="9"/>
      <c r="C5" s="16" t="s">
        <v>37</v>
      </c>
      <c r="D5" s="17"/>
      <c r="E5" s="1">
        <v>9.9000000000000005E-2</v>
      </c>
    </row>
    <row r="6" spans="2:5" x14ac:dyDescent="0.3">
      <c r="B6" s="9"/>
      <c r="C6" s="16" t="s">
        <v>38</v>
      </c>
      <c r="D6" s="17"/>
      <c r="E6" s="1">
        <v>0.57399999999999995</v>
      </c>
    </row>
    <row r="7" spans="2:5" x14ac:dyDescent="0.3">
      <c r="B7" s="13" t="s">
        <v>36</v>
      </c>
      <c r="C7" s="13" t="s">
        <v>37</v>
      </c>
      <c r="D7" s="1" t="s">
        <v>15</v>
      </c>
      <c r="E7" s="1">
        <f>SUM(E8:E9)</f>
        <v>2.4500000000000002</v>
      </c>
    </row>
    <row r="8" spans="2:5" x14ac:dyDescent="0.3">
      <c r="B8" s="14"/>
      <c r="C8" s="14"/>
      <c r="D8" s="1" t="s">
        <v>41</v>
      </c>
      <c r="E8" s="1">
        <v>1.33</v>
      </c>
    </row>
    <row r="9" spans="2:5" x14ac:dyDescent="0.3">
      <c r="B9" s="14"/>
      <c r="C9" s="15"/>
      <c r="D9" s="1" t="s">
        <v>42</v>
      </c>
      <c r="E9" s="1">
        <v>1.1200000000000001</v>
      </c>
    </row>
    <row r="10" spans="2:5" x14ac:dyDescent="0.3">
      <c r="B10" s="14"/>
      <c r="C10" s="13" t="s">
        <v>38</v>
      </c>
      <c r="D10" s="1" t="s">
        <v>15</v>
      </c>
      <c r="E10" s="1">
        <f>SUM(E11:E13)</f>
        <v>1.5250000000000001</v>
      </c>
    </row>
    <row r="11" spans="2:5" x14ac:dyDescent="0.3">
      <c r="B11" s="14"/>
      <c r="C11" s="14"/>
      <c r="D11" s="1" t="s">
        <v>43</v>
      </c>
      <c r="E11" s="1">
        <f>0.085*2</f>
        <v>0.17</v>
      </c>
    </row>
    <row r="12" spans="2:5" x14ac:dyDescent="0.3">
      <c r="B12" s="14"/>
      <c r="C12" s="14"/>
      <c r="D12" s="1" t="s">
        <v>9</v>
      </c>
      <c r="E12" s="1">
        <v>1.4999999999999999E-2</v>
      </c>
    </row>
    <row r="13" spans="2:5" x14ac:dyDescent="0.3">
      <c r="B13" s="15"/>
      <c r="C13" s="15"/>
      <c r="D13" s="1" t="s">
        <v>44</v>
      </c>
      <c r="E13" s="1">
        <v>1.34</v>
      </c>
    </row>
    <row r="14" spans="2:5" x14ac:dyDescent="0.3">
      <c r="B14" s="9" t="s">
        <v>45</v>
      </c>
      <c r="C14" s="9"/>
      <c r="D14" s="9"/>
      <c r="E14" s="1">
        <f>SUM(E4,E7,E10)</f>
        <v>4.6480000000000006</v>
      </c>
    </row>
    <row r="15" spans="2:5" x14ac:dyDescent="0.3">
      <c r="B15" s="18" t="s">
        <v>46</v>
      </c>
      <c r="C15" s="18"/>
      <c r="D15" s="18"/>
      <c r="E15" s="18"/>
    </row>
  </sheetData>
  <mergeCells count="9">
    <mergeCell ref="B4:B6"/>
    <mergeCell ref="C4:D4"/>
    <mergeCell ref="C5:D5"/>
    <mergeCell ref="C6:D6"/>
    <mergeCell ref="B14:D14"/>
    <mergeCell ref="B15:E15"/>
    <mergeCell ref="B7:B13"/>
    <mergeCell ref="C7:C9"/>
    <mergeCell ref="C10:C13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6D2EA-74C7-471C-A83A-844D045CAF31}">
  <dimension ref="B2:N27"/>
  <sheetViews>
    <sheetView tabSelected="1" workbookViewId="0">
      <selection activeCell="R20" sqref="R20"/>
    </sheetView>
  </sheetViews>
  <sheetFormatPr defaultColWidth="9.125" defaultRowHeight="16.5" x14ac:dyDescent="0.3"/>
  <cols>
    <col min="1" max="1" width="9.125" style="2"/>
    <col min="2" max="2" width="28" style="2" customWidth="1"/>
    <col min="3" max="14" width="7.125" style="2" customWidth="1"/>
    <col min="15" max="16384" width="9.125" style="2"/>
  </cols>
  <sheetData>
    <row r="2" spans="2:14" x14ac:dyDescent="0.3">
      <c r="B2" s="2" t="s">
        <v>47</v>
      </c>
    </row>
    <row r="4" spans="2:14" x14ac:dyDescent="0.3">
      <c r="B4" s="4" t="s">
        <v>48</v>
      </c>
      <c r="C4" s="4">
        <v>37</v>
      </c>
      <c r="D4" s="4">
        <v>38</v>
      </c>
      <c r="E4" s="4">
        <v>39</v>
      </c>
      <c r="F4" s="4">
        <v>40</v>
      </c>
      <c r="G4" s="4">
        <v>41</v>
      </c>
      <c r="H4" s="4">
        <v>42</v>
      </c>
      <c r="I4" s="4">
        <v>43</v>
      </c>
      <c r="J4" s="4">
        <v>44</v>
      </c>
      <c r="K4" s="4">
        <v>45</v>
      </c>
      <c r="L4" s="4">
        <v>46</v>
      </c>
      <c r="M4" s="4">
        <v>47</v>
      </c>
      <c r="N4" s="4">
        <v>48</v>
      </c>
    </row>
    <row r="5" spans="2:14" x14ac:dyDescent="0.3">
      <c r="B5" s="4" t="s">
        <v>67</v>
      </c>
      <c r="C5" s="7">
        <v>30953</v>
      </c>
      <c r="D5" s="7">
        <v>29760</v>
      </c>
      <c r="E5" s="7">
        <v>30372</v>
      </c>
      <c r="F5" s="7">
        <v>30757</v>
      </c>
      <c r="G5" s="7">
        <v>30684</v>
      </c>
      <c r="H5" s="7">
        <v>29739</v>
      </c>
      <c r="I5" s="7">
        <v>30738</v>
      </c>
      <c r="J5" s="7">
        <v>30766</v>
      </c>
      <c r="K5" s="7">
        <v>30607</v>
      </c>
      <c r="L5" s="7">
        <v>30709</v>
      </c>
      <c r="M5" s="7">
        <v>30715</v>
      </c>
      <c r="N5" s="7">
        <v>30371</v>
      </c>
    </row>
    <row r="6" spans="2:14" x14ac:dyDescent="0.3">
      <c r="B6" s="4" t="s">
        <v>68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</row>
    <row r="7" spans="2:14" x14ac:dyDescent="0.3">
      <c r="B7" s="4" t="s">
        <v>71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</row>
    <row r="8" spans="2:14" x14ac:dyDescent="0.3">
      <c r="B8" s="8" t="s">
        <v>60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</row>
    <row r="9" spans="2:14" x14ac:dyDescent="0.3">
      <c r="B9" s="4" t="s">
        <v>66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2:14" x14ac:dyDescent="0.3">
      <c r="B10" s="4" t="s">
        <v>49</v>
      </c>
      <c r="C10" s="4">
        <v>10.5</v>
      </c>
      <c r="D10" s="4">
        <v>10.7</v>
      </c>
      <c r="E10" s="4">
        <v>13.6</v>
      </c>
      <c r="F10" s="4">
        <v>23</v>
      </c>
      <c r="G10" s="4">
        <v>16.100000000000001</v>
      </c>
      <c r="H10" s="4">
        <v>23.9</v>
      </c>
      <c r="I10" s="4">
        <v>7.3</v>
      </c>
      <c r="J10" s="4">
        <v>21.4</v>
      </c>
      <c r="K10" s="4">
        <v>26.8</v>
      </c>
      <c r="L10" s="4">
        <v>15.1</v>
      </c>
      <c r="M10" s="4">
        <v>17.399999999999999</v>
      </c>
      <c r="N10" s="4">
        <v>10.7</v>
      </c>
    </row>
    <row r="11" spans="2:14" x14ac:dyDescent="0.3">
      <c r="B11" s="4" t="s">
        <v>52</v>
      </c>
      <c r="C11" s="5">
        <v>0.79100000000000004</v>
      </c>
      <c r="D11" s="5">
        <v>0.77800000000000002</v>
      </c>
      <c r="E11" s="5">
        <v>0.78100000000000003</v>
      </c>
      <c r="F11" s="5">
        <v>0.79800000000000004</v>
      </c>
      <c r="G11" s="5">
        <v>0.78600000000000003</v>
      </c>
      <c r="H11" s="5">
        <v>0.77900000000000003</v>
      </c>
      <c r="I11" s="5">
        <v>0.78400000000000003</v>
      </c>
      <c r="J11" s="5">
        <v>0.78300000000000003</v>
      </c>
      <c r="K11" s="5">
        <v>0.79300000000000004</v>
      </c>
      <c r="L11" s="5">
        <v>0.78500000000000003</v>
      </c>
      <c r="M11" s="5">
        <v>0.77800000000000002</v>
      </c>
      <c r="N11" s="5">
        <v>0.78200000000000003</v>
      </c>
    </row>
    <row r="12" spans="2:14" x14ac:dyDescent="0.3">
      <c r="B12" s="4" t="s">
        <v>70</v>
      </c>
      <c r="C12" s="5">
        <f>0.688834</f>
        <v>0.68883399999999995</v>
      </c>
      <c r="D12" s="5">
        <v>0.70794500000000005</v>
      </c>
      <c r="E12" s="5">
        <v>0.67784500000000003</v>
      </c>
      <c r="F12" s="5">
        <v>0.711453</v>
      </c>
      <c r="G12" s="5">
        <v>0.68468899999999999</v>
      </c>
      <c r="H12" s="5">
        <v>0.67874999999999996</v>
      </c>
      <c r="I12" s="5">
        <v>0.67246300000000003</v>
      </c>
      <c r="J12" s="5">
        <v>0.71033800000000002</v>
      </c>
      <c r="K12" s="5">
        <v>0.70010899999999998</v>
      </c>
      <c r="L12" s="5">
        <v>0.71938500000000005</v>
      </c>
      <c r="M12" s="5">
        <v>0.71838299999999999</v>
      </c>
      <c r="N12" s="5">
        <v>0.705152</v>
      </c>
    </row>
    <row r="13" spans="2:14" x14ac:dyDescent="0.3">
      <c r="B13" s="4" t="s">
        <v>56</v>
      </c>
      <c r="C13" s="5">
        <v>0.98699999999999999</v>
      </c>
      <c r="D13" s="5">
        <v>0.98799999999999999</v>
      </c>
      <c r="E13" s="5">
        <v>0.98799999999999999</v>
      </c>
      <c r="F13" s="5">
        <v>0.98599999999999999</v>
      </c>
      <c r="G13" s="5">
        <v>0.98399999999999999</v>
      </c>
      <c r="H13" s="5">
        <v>0.98499999999999999</v>
      </c>
      <c r="I13" s="5">
        <v>0.98699999999999999</v>
      </c>
      <c r="J13" s="5">
        <v>0.98099999999999998</v>
      </c>
      <c r="K13" s="5">
        <v>0.98299999999999998</v>
      </c>
      <c r="L13" s="5">
        <v>0.98199999999999998</v>
      </c>
      <c r="M13" s="5">
        <v>0.98199999999999998</v>
      </c>
      <c r="N13" s="5">
        <v>0.98299999999999998</v>
      </c>
    </row>
    <row r="14" spans="2:14" x14ac:dyDescent="0.3">
      <c r="B14" s="4" t="s">
        <v>57</v>
      </c>
      <c r="C14" s="6">
        <v>813</v>
      </c>
      <c r="D14" s="6">
        <v>791</v>
      </c>
      <c r="E14" s="6">
        <v>826.1</v>
      </c>
      <c r="F14" s="6">
        <v>787.1</v>
      </c>
      <c r="G14" s="6">
        <v>817.9</v>
      </c>
      <c r="H14" s="6">
        <v>825</v>
      </c>
      <c r="I14" s="6">
        <v>832.8</v>
      </c>
      <c r="J14" s="6">
        <v>788.4</v>
      </c>
      <c r="K14" s="6">
        <v>799.9</v>
      </c>
      <c r="L14" s="6">
        <v>778.4</v>
      </c>
      <c r="M14" s="6">
        <v>779.5</v>
      </c>
      <c r="N14" s="6">
        <v>794.2</v>
      </c>
    </row>
    <row r="15" spans="2:14" x14ac:dyDescent="0.3">
      <c r="B15" s="4" t="s">
        <v>58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2:14" x14ac:dyDescent="0.3">
      <c r="B16" s="4" t="s">
        <v>61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spans="2:14" x14ac:dyDescent="0.3">
      <c r="B17" s="4" t="s">
        <v>62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2:14" x14ac:dyDescent="0.3">
      <c r="B18" s="8" t="s">
        <v>59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</row>
    <row r="19" spans="2:14" x14ac:dyDescent="0.3">
      <c r="B19" s="4" t="s">
        <v>65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 spans="2:14" x14ac:dyDescent="0.3">
      <c r="B20" s="4" t="s">
        <v>50</v>
      </c>
      <c r="C20" s="4">
        <f>100-C10</f>
        <v>89.5</v>
      </c>
      <c r="D20" s="4">
        <f t="shared" ref="D20:N20" si="0">100-D10</f>
        <v>89.3</v>
      </c>
      <c r="E20" s="4">
        <f t="shared" si="0"/>
        <v>86.4</v>
      </c>
      <c r="F20" s="4">
        <f t="shared" si="0"/>
        <v>77</v>
      </c>
      <c r="G20" s="4">
        <f t="shared" si="0"/>
        <v>83.9</v>
      </c>
      <c r="H20" s="4">
        <f t="shared" si="0"/>
        <v>76.099999999999994</v>
      </c>
      <c r="I20" s="4">
        <f t="shared" si="0"/>
        <v>92.7</v>
      </c>
      <c r="J20" s="4">
        <f t="shared" si="0"/>
        <v>78.599999999999994</v>
      </c>
      <c r="K20" s="4">
        <f t="shared" si="0"/>
        <v>73.2</v>
      </c>
      <c r="L20" s="4">
        <f t="shared" si="0"/>
        <v>84.9</v>
      </c>
      <c r="M20" s="4">
        <f t="shared" si="0"/>
        <v>82.6</v>
      </c>
      <c r="N20" s="4">
        <f t="shared" si="0"/>
        <v>89.3</v>
      </c>
    </row>
    <row r="21" spans="2:14" x14ac:dyDescent="0.3">
      <c r="B21" s="4" t="s">
        <v>51</v>
      </c>
      <c r="C21" s="5">
        <v>0.441</v>
      </c>
      <c r="D21" s="5">
        <v>0.45400000000000001</v>
      </c>
      <c r="E21" s="5">
        <v>0.46899999999999997</v>
      </c>
      <c r="F21" s="5">
        <v>0.44800000000000001</v>
      </c>
      <c r="G21" s="5">
        <v>0.45300000000000001</v>
      </c>
      <c r="H21" s="5">
        <v>0.47399999999999998</v>
      </c>
      <c r="I21" s="5">
        <v>0.46500000000000002</v>
      </c>
      <c r="J21" s="5">
        <v>0.44700000000000001</v>
      </c>
      <c r="K21" s="5">
        <v>0.46500000000000002</v>
      </c>
      <c r="L21" s="5">
        <v>0.47899999999999998</v>
      </c>
      <c r="M21" s="5">
        <v>0.45100000000000001</v>
      </c>
      <c r="N21" s="5">
        <v>0.46600000000000003</v>
      </c>
    </row>
    <row r="22" spans="2:14" x14ac:dyDescent="0.3">
      <c r="B22" s="4" t="s">
        <v>69</v>
      </c>
      <c r="C22" s="5">
        <v>0.37706800000000001</v>
      </c>
      <c r="D22" s="5">
        <v>0.36636999999999997</v>
      </c>
      <c r="E22" s="5">
        <v>0.394816</v>
      </c>
      <c r="F22" s="5">
        <v>0.39177899999999999</v>
      </c>
      <c r="G22" s="5">
        <v>0.36824800000000002</v>
      </c>
      <c r="H22" s="5">
        <v>0.38622499999999998</v>
      </c>
      <c r="I22" s="5">
        <v>0.378996</v>
      </c>
      <c r="J22" s="5">
        <v>0.38554899999999998</v>
      </c>
      <c r="K22" s="5">
        <v>0.36668499999999998</v>
      </c>
      <c r="L22" s="5">
        <v>0.38136599999999998</v>
      </c>
      <c r="M22" s="5">
        <v>0.38368600000000003</v>
      </c>
      <c r="N22" s="5">
        <v>0.38095600000000002</v>
      </c>
    </row>
    <row r="23" spans="2:14" x14ac:dyDescent="0.3">
      <c r="B23" s="4" t="s">
        <v>55</v>
      </c>
      <c r="C23" s="5">
        <v>0.51100000000000001</v>
      </c>
      <c r="D23" s="5">
        <v>0.51400000000000001</v>
      </c>
      <c r="E23" s="5">
        <v>0.51300000000000001</v>
      </c>
      <c r="F23" s="5">
        <v>0.51200000000000001</v>
      </c>
      <c r="G23" s="5">
        <v>0.51500000000000001</v>
      </c>
      <c r="H23" s="5">
        <v>0.51100000000000001</v>
      </c>
      <c r="I23" s="5">
        <v>0.51600000000000001</v>
      </c>
      <c r="J23" s="5">
        <v>0.51100000000000001</v>
      </c>
      <c r="K23" s="5">
        <v>0.51200000000000001</v>
      </c>
      <c r="L23" s="5">
        <v>0.51100000000000001</v>
      </c>
      <c r="M23" s="5">
        <v>0.51</v>
      </c>
      <c r="N23" s="5">
        <v>0.51200000000000001</v>
      </c>
    </row>
    <row r="24" spans="2:14" x14ac:dyDescent="0.3">
      <c r="B24" s="4" t="s">
        <v>53</v>
      </c>
      <c r="C24" s="6">
        <v>228.1</v>
      </c>
      <c r="D24" s="6">
        <v>234.7</v>
      </c>
      <c r="E24" s="6">
        <v>217.8</v>
      </c>
      <c r="F24" s="6">
        <v>219.5</v>
      </c>
      <c r="G24" s="6">
        <v>233.5</v>
      </c>
      <c r="H24" s="6">
        <v>222.7</v>
      </c>
      <c r="I24" s="6">
        <v>226.9</v>
      </c>
      <c r="J24" s="6">
        <v>223.1</v>
      </c>
      <c r="K24" s="6">
        <v>234.5</v>
      </c>
      <c r="L24" s="6">
        <v>225.5</v>
      </c>
      <c r="M24" s="6">
        <v>224.1</v>
      </c>
      <c r="N24" s="6">
        <v>225.7</v>
      </c>
    </row>
    <row r="25" spans="2:14" x14ac:dyDescent="0.3">
      <c r="B25" s="4" t="s">
        <v>54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</row>
    <row r="26" spans="2:14" x14ac:dyDescent="0.3">
      <c r="B26" s="4" t="s">
        <v>63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</row>
    <row r="27" spans="2:14" x14ac:dyDescent="0.3">
      <c r="B27" s="4" t="s">
        <v>64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</row>
  </sheetData>
  <mergeCells count="2">
    <mergeCell ref="B18:N18"/>
    <mergeCell ref="B8:N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(HW) Resources</vt:lpstr>
      <vt:lpstr>(HW) Power</vt:lpstr>
      <vt:lpstr>(HW) Latency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재명 김</cp:lastModifiedBy>
  <dcterms:created xsi:type="dcterms:W3CDTF">2026-04-02T23:25:46Z</dcterms:created>
  <dcterms:modified xsi:type="dcterms:W3CDTF">2026-06-29T15:11:41Z</dcterms:modified>
</cp:coreProperties>
</file>