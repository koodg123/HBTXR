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(HW) Resources" sheetId="1" state="visible" r:id="rId1"/>
    <sheet xmlns:r="http://schemas.openxmlformats.org/officeDocument/2006/relationships" name="(HW) Power" sheetId="2" state="visible" r:id="rId2"/>
    <sheet xmlns:r="http://schemas.openxmlformats.org/officeDocument/2006/relationships" name="(HW) Latenc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_ 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0"/>
      <scheme val="major"/>
    </font>
    <font>
      <i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7" pivotButton="0" quotePrefix="0" xfId="0"/>
    <xf numFmtId="3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zoomScaleNormal="100" workbookViewId="0">
      <selection activeCell="J29" sqref="J29"/>
    </sheetView>
  </sheetViews>
  <sheetFormatPr baseColWidth="8" defaultColWidth="9" defaultRowHeight="16.5" outlineLevelCol="0"/>
  <cols>
    <col width="9" customWidth="1" style="2" min="1" max="1"/>
    <col width="14.25" customWidth="1" style="2" min="2" max="3"/>
    <col width="10.25" customWidth="1" style="2" min="4" max="8"/>
    <col width="9" customWidth="1" style="2" min="9" max="16384"/>
  </cols>
  <sheetData>
    <row r="2">
      <c r="B2" s="2" t="inlineStr">
        <is>
          <t>Core-level Module</t>
        </is>
      </c>
    </row>
    <row r="3">
      <c r="B3" s="9" t="inlineStr">
        <is>
          <t>Core</t>
        </is>
      </c>
      <c r="C3" s="9" t="inlineStr">
        <is>
          <t>Unit</t>
        </is>
      </c>
      <c r="D3" s="9" t="inlineStr">
        <is>
          <t>LUTs (K)</t>
        </is>
      </c>
      <c r="E3" s="9" t="inlineStr">
        <is>
          <t>FFs</t>
        </is>
      </c>
      <c r="F3" s="9" t="inlineStr">
        <is>
          <t>DSPs</t>
        </is>
      </c>
      <c r="G3" s="9" t="inlineStr">
        <is>
          <t>BRAM36K</t>
        </is>
      </c>
      <c r="H3" s="9" t="inlineStr">
        <is>
          <t>URAM</t>
        </is>
      </c>
    </row>
    <row r="4">
      <c r="B4" s="3" t="inlineStr">
        <is>
          <t>DMA</t>
        </is>
      </c>
      <c r="C4" s="19" t="n"/>
      <c r="D4" s="3" t="n">
        <v>4.2</v>
      </c>
      <c r="E4" s="3" t="n">
        <v>8.9</v>
      </c>
      <c r="F4" s="3" t="n">
        <v>0</v>
      </c>
      <c r="G4" s="3" t="n">
        <v>6</v>
      </c>
      <c r="H4" s="3" t="n">
        <v>0</v>
      </c>
    </row>
    <row r="5">
      <c r="B5" s="3" t="inlineStr">
        <is>
          <t>AXI</t>
        </is>
      </c>
      <c r="C5" s="19" t="n"/>
      <c r="D5" s="3" t="n">
        <v>5.7</v>
      </c>
      <c r="E5" s="3" t="n">
        <v>11.5</v>
      </c>
      <c r="F5" s="3" t="n">
        <v>0</v>
      </c>
      <c r="G5" s="3" t="n">
        <v>0</v>
      </c>
      <c r="H5" s="3" t="n">
        <v>0</v>
      </c>
    </row>
    <row r="6">
      <c r="B6" s="3" t="inlineStr">
        <is>
          <t>Controller</t>
        </is>
      </c>
      <c r="C6" s="19" t="n"/>
      <c r="D6" s="3" t="n">
        <v>7.4</v>
      </c>
      <c r="E6" s="3" t="n">
        <v>16.2</v>
      </c>
      <c r="F6" s="3" t="n">
        <v>0</v>
      </c>
      <c r="G6" s="3" t="n">
        <v>0</v>
      </c>
      <c r="H6" s="3" t="n">
        <v>0</v>
      </c>
    </row>
    <row r="7">
      <c r="B7" s="3" t="inlineStr">
        <is>
          <t>Global Buffer</t>
        </is>
      </c>
      <c r="C7" s="19" t="n"/>
      <c r="D7" s="3" t="n">
        <v>6.5</v>
      </c>
      <c r="E7" s="3" t="n">
        <v>12.2</v>
      </c>
      <c r="F7" s="3" t="n">
        <v>0</v>
      </c>
      <c r="G7" s="3" t="n">
        <v>60</v>
      </c>
      <c r="H7" s="3" t="n">
        <v>0</v>
      </c>
    </row>
    <row r="8">
      <c r="B8" s="3" t="inlineStr">
        <is>
          <t>MHA Core x 2</t>
        </is>
      </c>
      <c r="C8" s="19" t="n"/>
      <c r="D8" s="3" t="n">
        <v>55.4</v>
      </c>
      <c r="E8" s="3" t="n">
        <v>75.5</v>
      </c>
      <c r="F8" s="3" t="n">
        <v>390</v>
      </c>
      <c r="G8" s="3" t="n">
        <v>48</v>
      </c>
      <c r="H8" s="3" t="n">
        <v>6</v>
      </c>
    </row>
    <row r="9">
      <c r="B9" s="9" t="inlineStr">
        <is>
          <t>MHA Core</t>
        </is>
      </c>
      <c r="C9" s="9" t="inlineStr">
        <is>
          <t>LayerNorm</t>
        </is>
      </c>
      <c r="D9" s="9" t="n">
        <v>1.1</v>
      </c>
      <c r="E9" s="9" t="n">
        <v>1.5</v>
      </c>
      <c r="F9" s="9" t="n">
        <v>4</v>
      </c>
      <c r="G9" s="9" t="n">
        <v>0</v>
      </c>
      <c r="H9" s="9" t="n">
        <v>0</v>
      </c>
    </row>
    <row r="10">
      <c r="B10" s="20" t="n"/>
      <c r="C10" s="9" t="inlineStr">
        <is>
          <t>RMU-Q</t>
        </is>
      </c>
      <c r="D10" s="9" t="n">
        <v>3.3</v>
      </c>
      <c r="E10" s="9" t="n">
        <v>4.5</v>
      </c>
      <c r="F10" s="9" t="n">
        <v>24</v>
      </c>
      <c r="G10" s="9" t="n">
        <v>4</v>
      </c>
      <c r="H10" s="9" t="n">
        <v>0</v>
      </c>
    </row>
    <row r="11">
      <c r="B11" s="20" t="n"/>
      <c r="C11" s="9" t="inlineStr">
        <is>
          <t>RMU-K</t>
        </is>
      </c>
      <c r="D11" s="9" t="n">
        <v>3.3</v>
      </c>
      <c r="E11" s="9" t="n">
        <v>4.5</v>
      </c>
      <c r="F11" s="9" t="n">
        <v>24</v>
      </c>
      <c r="G11" s="9" t="n">
        <v>4</v>
      </c>
      <c r="H11" s="9" t="n">
        <v>0</v>
      </c>
    </row>
    <row r="12">
      <c r="B12" s="20" t="n"/>
      <c r="C12" s="9" t="inlineStr">
        <is>
          <t>RMU-V</t>
        </is>
      </c>
      <c r="D12" s="9" t="n">
        <v>2.1</v>
      </c>
      <c r="E12" s="9" t="n">
        <v>3.1</v>
      </c>
      <c r="F12" s="9" t="n">
        <v>24</v>
      </c>
      <c r="G12" s="9" t="n">
        <v>4</v>
      </c>
      <c r="H12" s="9" t="n">
        <v>0</v>
      </c>
    </row>
    <row r="13">
      <c r="B13" s="20" t="n"/>
      <c r="C13" s="9" t="inlineStr">
        <is>
          <t>SMU-QK</t>
        </is>
      </c>
      <c r="D13" s="9" t="n">
        <v>6.6</v>
      </c>
      <c r="E13" s="9" t="n">
        <v>9.1</v>
      </c>
      <c r="F13" s="9" t="n">
        <v>42</v>
      </c>
      <c r="G13" s="9" t="n">
        <v>4</v>
      </c>
      <c r="H13" s="9" t="n">
        <v>0</v>
      </c>
    </row>
    <row r="14">
      <c r="B14" s="20" t="n"/>
      <c r="C14" s="9" t="inlineStr">
        <is>
          <t>Softmax</t>
        </is>
      </c>
      <c r="D14" s="9" t="n">
        <v>1.2</v>
      </c>
      <c r="E14" s="9" t="n">
        <v>1.1</v>
      </c>
      <c r="F14" s="9" t="n">
        <v>7</v>
      </c>
      <c r="G14" s="9" t="n">
        <v>0</v>
      </c>
      <c r="H14" s="9" t="n">
        <v>0</v>
      </c>
    </row>
    <row r="15">
      <c r="B15" s="20" t="n"/>
      <c r="C15" s="9" t="inlineStr">
        <is>
          <t>SMU-SV</t>
        </is>
      </c>
      <c r="D15" s="9" t="n">
        <v>5.5</v>
      </c>
      <c r="E15" s="9" t="n">
        <v>7.5</v>
      </c>
      <c r="F15" s="9" t="n">
        <v>42</v>
      </c>
      <c r="G15" s="9" t="n">
        <v>4</v>
      </c>
      <c r="H15" s="9" t="n">
        <v>1</v>
      </c>
    </row>
    <row r="16">
      <c r="B16" s="20" t="n"/>
      <c r="C16" s="9" t="inlineStr">
        <is>
          <t>RMU-O</t>
        </is>
      </c>
      <c r="D16" s="9" t="n">
        <v>4.1</v>
      </c>
      <c r="E16" s="9" t="n">
        <v>5.6</v>
      </c>
      <c r="F16" s="9" t="n">
        <v>24</v>
      </c>
      <c r="G16" s="9" t="n">
        <v>4</v>
      </c>
      <c r="H16" s="9" t="n">
        <v>0</v>
      </c>
    </row>
    <row r="17">
      <c r="B17" s="21" t="n"/>
      <c r="C17" s="9" t="inlineStr">
        <is>
          <t>RES</t>
        </is>
      </c>
      <c r="D17" s="9" t="n">
        <v>0.5</v>
      </c>
      <c r="E17" s="9" t="n">
        <v>0.7</v>
      </c>
      <c r="F17" s="9" t="n">
        <v>4</v>
      </c>
      <c r="G17" s="9" t="n">
        <v>0</v>
      </c>
      <c r="H17" s="9" t="n">
        <v>2</v>
      </c>
    </row>
    <row r="18">
      <c r="B18" s="3" t="inlineStr">
        <is>
          <t>MLP Core x 2</t>
        </is>
      </c>
      <c r="C18" s="19" t="n"/>
      <c r="D18" s="3" t="n">
        <v>41.2</v>
      </c>
      <c r="E18" s="3" t="n">
        <v>61.8</v>
      </c>
      <c r="F18" s="3" t="n">
        <v>304</v>
      </c>
      <c r="G18" s="3" t="n">
        <v>32</v>
      </c>
      <c r="H18" s="3" t="n">
        <v>4</v>
      </c>
    </row>
    <row r="19">
      <c r="B19" s="9" t="inlineStr">
        <is>
          <t>MLP Core</t>
        </is>
      </c>
      <c r="C19" s="9" t="inlineStr">
        <is>
          <t>LayerNorm</t>
        </is>
      </c>
      <c r="D19" s="9" t="n">
        <v>1.6</v>
      </c>
      <c r="E19" s="9" t="n">
        <v>2.4</v>
      </c>
      <c r="F19" s="9" t="n">
        <v>4</v>
      </c>
      <c r="G19" s="9" t="n">
        <v>0</v>
      </c>
      <c r="H19" s="9" t="n">
        <v>0</v>
      </c>
    </row>
    <row r="20">
      <c r="B20" s="20" t="n"/>
      <c r="C20" s="9" t="inlineStr">
        <is>
          <t>RMU-FC1</t>
        </is>
      </c>
      <c r="D20" s="9" t="n">
        <v>8.199999999999999</v>
      </c>
      <c r="E20" s="9" t="n">
        <v>12.3</v>
      </c>
      <c r="F20" s="9" t="n">
        <v>70</v>
      </c>
      <c r="G20" s="9" t="n">
        <v>8</v>
      </c>
      <c r="H20" s="9" t="n">
        <v>0</v>
      </c>
    </row>
    <row r="21">
      <c r="B21" s="20" t="n"/>
      <c r="C21" s="9" t="inlineStr">
        <is>
          <t>RMU-FC2</t>
        </is>
      </c>
      <c r="D21" s="9" t="n">
        <v>8.199999999999999</v>
      </c>
      <c r="E21" s="9" t="n">
        <v>12.3</v>
      </c>
      <c r="F21" s="9" t="n">
        <v>70</v>
      </c>
      <c r="G21" s="9" t="n">
        <v>8</v>
      </c>
      <c r="H21" s="9" t="n">
        <v>0</v>
      </c>
    </row>
    <row r="22">
      <c r="B22" s="20" t="n"/>
      <c r="C22" s="9" t="inlineStr">
        <is>
          <t>GELU</t>
        </is>
      </c>
      <c r="D22" s="9" t="n">
        <v>1.6</v>
      </c>
      <c r="E22" s="9" t="n">
        <v>2.4</v>
      </c>
      <c r="F22" s="9" t="n">
        <v>4</v>
      </c>
      <c r="G22" s="9" t="n">
        <v>0</v>
      </c>
      <c r="H22" s="9" t="n">
        <v>0</v>
      </c>
    </row>
    <row r="23">
      <c r="B23" s="21" t="n"/>
      <c r="C23" s="9" t="inlineStr">
        <is>
          <t>RES</t>
        </is>
      </c>
      <c r="D23" s="9" t="n">
        <v>0.8</v>
      </c>
      <c r="E23" s="9" t="n">
        <v>1.2</v>
      </c>
      <c r="F23" s="9" t="n">
        <v>4</v>
      </c>
      <c r="G23" s="9" t="n">
        <v>0</v>
      </c>
      <c r="H23" s="9" t="n">
        <v>2</v>
      </c>
    </row>
    <row r="24">
      <c r="B24" s="3" t="inlineStr">
        <is>
          <t>Patch Embedding Core</t>
        </is>
      </c>
      <c r="C24" s="19" t="n"/>
      <c r="D24" s="3" t="n">
        <v>11.4</v>
      </c>
      <c r="E24" s="3" t="n">
        <v>21.5</v>
      </c>
      <c r="F24" s="3" t="n">
        <v>72</v>
      </c>
      <c r="G24" s="3" t="n">
        <v>20</v>
      </c>
      <c r="H24" s="3" t="n">
        <v>1</v>
      </c>
    </row>
    <row r="25">
      <c r="B25" s="3" t="inlineStr">
        <is>
          <t>Head Core</t>
        </is>
      </c>
      <c r="C25" s="19" t="n"/>
      <c r="D25" s="3" t="n">
        <v>13.2</v>
      </c>
      <c r="E25" s="3" t="n">
        <v>19.4</v>
      </c>
      <c r="F25" s="3" t="n">
        <v>48</v>
      </c>
      <c r="G25" s="3" t="n">
        <v>18</v>
      </c>
      <c r="H25" s="3" t="n">
        <v>1</v>
      </c>
    </row>
    <row r="26">
      <c r="B26" s="3" t="inlineStr">
        <is>
          <t>Total</t>
        </is>
      </c>
      <c r="C26" s="19" t="n"/>
      <c r="D26" s="3" t="n">
        <v>145</v>
      </c>
      <c r="E26" s="3" t="n">
        <v>227</v>
      </c>
      <c r="F26" s="3" t="n">
        <v>814</v>
      </c>
      <c r="G26" s="3" t="n">
        <v>184</v>
      </c>
      <c r="H26" s="3" t="n">
        <v>12</v>
      </c>
    </row>
    <row r="27">
      <c r="B27" s="9" t="inlineStr">
        <is>
          <t>Available</t>
        </is>
      </c>
      <c r="C27" s="19" t="n"/>
      <c r="D27" s="9" t="n">
        <v>230.4</v>
      </c>
      <c r="E27" s="9" t="n">
        <v>460.8</v>
      </c>
      <c r="F27" s="9" t="n">
        <v>1728</v>
      </c>
      <c r="G27" s="9" t="n">
        <v>312</v>
      </c>
      <c r="H27" s="9" t="n">
        <v>96</v>
      </c>
    </row>
    <row r="28">
      <c r="B28" s="12" t="inlineStr">
        <is>
          <t>* WEIGHT_ROM과 NON_LINEAR_LUT는 GLOBAL BUFFER에 통합되어 있음</t>
        </is>
      </c>
    </row>
  </sheetData>
  <mergeCells count="13">
    <mergeCell ref="B6:C6"/>
    <mergeCell ref="B24:C24"/>
    <mergeCell ref="B9:B17"/>
    <mergeCell ref="B7:C7"/>
    <mergeCell ref="B25:C25"/>
    <mergeCell ref="B5:C5"/>
    <mergeCell ref="B19:B23"/>
    <mergeCell ref="B26:C26"/>
    <mergeCell ref="B27:C27"/>
    <mergeCell ref="B8:C8"/>
    <mergeCell ref="B4:C4"/>
    <mergeCell ref="B18:C18"/>
    <mergeCell ref="B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K22" sqref="K22"/>
    </sheetView>
  </sheetViews>
  <sheetFormatPr baseColWidth="8" defaultColWidth="9" defaultRowHeight="16.5" outlineLevelCol="0"/>
  <cols>
    <col width="9" customWidth="1" style="2" min="1" max="1"/>
    <col width="15.125" customWidth="1" style="2" min="2" max="2"/>
    <col width="12.375" customWidth="1" style="2" min="3" max="3"/>
    <col width="14.375" customWidth="1" style="2" min="4" max="4"/>
    <col width="16.25" customWidth="1" style="2" min="5" max="5"/>
    <col width="9" customWidth="1" style="2" min="6" max="16384"/>
  </cols>
  <sheetData>
    <row r="3">
      <c r="B3" s="9" t="inlineStr">
        <is>
          <t>Type</t>
        </is>
      </c>
      <c r="C3" s="9" t="inlineStr">
        <is>
          <t>Region</t>
        </is>
      </c>
      <c r="D3" s="9" t="inlineStr">
        <is>
          <t>Scope</t>
        </is>
      </c>
      <c r="E3" s="9" t="inlineStr">
        <is>
          <t>Power</t>
        </is>
      </c>
    </row>
    <row r="4">
      <c r="B4" s="9" t="inlineStr">
        <is>
          <t>Static</t>
        </is>
      </c>
      <c r="C4" s="9" t="inlineStr">
        <is>
          <t>Total</t>
        </is>
      </c>
      <c r="D4" s="19" t="n"/>
      <c r="E4" s="9">
        <f>SUM(E5:E6)</f>
        <v/>
      </c>
    </row>
    <row r="5">
      <c r="B5" s="20" t="n"/>
      <c r="C5" s="9" t="inlineStr">
        <is>
          <t>PS</t>
        </is>
      </c>
      <c r="D5" s="19" t="n"/>
      <c r="E5" s="9" t="n">
        <v>0.099</v>
      </c>
    </row>
    <row r="6">
      <c r="B6" s="21" t="n"/>
      <c r="C6" s="9" t="inlineStr">
        <is>
          <t>PL</t>
        </is>
      </c>
      <c r="D6" s="19" t="n"/>
      <c r="E6" s="9" t="n">
        <v>0.574</v>
      </c>
    </row>
    <row r="7">
      <c r="B7" s="9" t="inlineStr">
        <is>
          <t>Dynamic</t>
        </is>
      </c>
      <c r="C7" s="9" t="inlineStr">
        <is>
          <t>PS</t>
        </is>
      </c>
      <c r="D7" s="9" t="inlineStr">
        <is>
          <t>Total</t>
        </is>
      </c>
      <c r="E7" s="9">
        <f>SUM(E8:E9)</f>
        <v/>
      </c>
    </row>
    <row r="8">
      <c r="B8" s="20" t="n"/>
      <c r="C8" s="20" t="n"/>
      <c r="D8" s="9" t="inlineStr">
        <is>
          <t>ARM</t>
        </is>
      </c>
      <c r="E8" s="9" t="n">
        <v>1.33</v>
      </c>
    </row>
    <row r="9">
      <c r="B9" s="20" t="n"/>
      <c r="C9" s="21" t="n"/>
      <c r="D9" s="9" t="inlineStr">
        <is>
          <t>DRAM</t>
        </is>
      </c>
      <c r="E9" s="9" t="n">
        <v>1.12</v>
      </c>
    </row>
    <row r="10">
      <c r="B10" s="20" t="n"/>
      <c r="C10" s="9" t="inlineStr">
        <is>
          <t>PL</t>
        </is>
      </c>
      <c r="D10" s="9" t="inlineStr">
        <is>
          <t>Total</t>
        </is>
      </c>
      <c r="E10" s="9">
        <f>SUM(E11:E13)</f>
        <v/>
      </c>
    </row>
    <row r="11">
      <c r="B11" s="20" t="n"/>
      <c r="C11" s="20" t="n"/>
      <c r="D11" s="9" t="inlineStr">
        <is>
          <t>BUS (AXI)</t>
        </is>
      </c>
      <c r="E11" s="9">
        <f>0.085*2</f>
        <v/>
      </c>
    </row>
    <row r="12">
      <c r="B12" s="20" t="n"/>
      <c r="C12" s="20" t="n"/>
      <c r="D12" s="9" t="inlineStr">
        <is>
          <t>DMA</t>
        </is>
      </c>
      <c r="E12" s="9" t="n">
        <v>0.015</v>
      </c>
    </row>
    <row r="13">
      <c r="B13" s="21" t="n"/>
      <c r="C13" s="21" t="n"/>
      <c r="D13" s="9" t="inlineStr">
        <is>
          <t>ACCELERATOR</t>
        </is>
      </c>
      <c r="E13" s="9" t="n">
        <v>1.34</v>
      </c>
    </row>
    <row r="14">
      <c r="B14" s="9" t="inlineStr">
        <is>
          <t>Full Chip Power</t>
        </is>
      </c>
      <c r="C14" s="22" t="n"/>
      <c r="D14" s="19" t="n"/>
      <c r="E14" s="9">
        <f>SUM(E4,E7,E10)</f>
        <v/>
      </c>
    </row>
    <row r="15">
      <c r="B15" s="18" t="inlineStr">
        <is>
          <t>Cortex-A53 : 1.0GHz, DDR : 535.5MHz, PL : 300MHz</t>
        </is>
      </c>
      <c r="C15" s="23" t="n"/>
      <c r="D15" s="23" t="n"/>
      <c r="E15" s="23" t="n"/>
    </row>
  </sheetData>
  <mergeCells count="9">
    <mergeCell ref="C7:C9"/>
    <mergeCell ref="C6:D6"/>
    <mergeCell ref="B14:D14"/>
    <mergeCell ref="B4:B6"/>
    <mergeCell ref="C5:D5"/>
    <mergeCell ref="B7:B13"/>
    <mergeCell ref="B15:E15"/>
    <mergeCell ref="C10:C13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9"/>
  <sheetViews>
    <sheetView tabSelected="1" workbookViewId="0">
      <selection activeCell="R20" sqref="R20"/>
    </sheetView>
  </sheetViews>
  <sheetFormatPr baseColWidth="8" defaultColWidth="9.125" defaultRowHeight="16.5" outlineLevelCol="0"/>
  <cols>
    <col width="9.125" customWidth="1" style="2" min="1" max="1"/>
    <col width="28" customWidth="1" style="2" min="2" max="2"/>
    <col width="7.125" customWidth="1" style="2" min="3" max="14"/>
    <col width="9.125" customWidth="1" style="2" min="15" max="16384"/>
  </cols>
  <sheetData>
    <row r="2">
      <c r="B2" s="2" t="inlineStr">
        <is>
          <t>Testset</t>
        </is>
      </c>
    </row>
    <row r="4">
      <c r="B4" s="8" t="inlineStr">
        <is>
          <t>Subject</t>
        </is>
      </c>
      <c r="C4" s="8" t="n">
        <v>37</v>
      </c>
      <c r="D4" s="8" t="n">
        <v>38</v>
      </c>
      <c r="E4" s="8" t="n">
        <v>39</v>
      </c>
      <c r="F4" s="8" t="n">
        <v>40</v>
      </c>
      <c r="G4" s="8" t="n">
        <v>41</v>
      </c>
      <c r="H4" s="8" t="n">
        <v>42</v>
      </c>
      <c r="I4" s="8" t="n">
        <v>43</v>
      </c>
      <c r="J4" s="8" t="n">
        <v>44</v>
      </c>
      <c r="K4" s="8" t="n">
        <v>45</v>
      </c>
      <c r="L4" s="8" t="n">
        <v>46</v>
      </c>
      <c r="M4" s="8" t="n">
        <v>47</v>
      </c>
      <c r="N4" s="8" t="n">
        <v>48</v>
      </c>
    </row>
    <row r="5">
      <c r="B5" s="8" t="inlineStr">
        <is>
          <t>#Frames (N_F)</t>
        </is>
      </c>
      <c r="C5" s="7" t="n">
        <v>30953</v>
      </c>
      <c r="D5" s="7" t="n">
        <v>29760</v>
      </c>
      <c r="E5" s="7" t="n">
        <v>30372</v>
      </c>
      <c r="F5" s="7" t="n">
        <v>30757</v>
      </c>
      <c r="G5" s="7" t="n">
        <v>30684</v>
      </c>
      <c r="H5" s="7" t="n">
        <v>29739</v>
      </c>
      <c r="I5" s="7" t="n">
        <v>30738</v>
      </c>
      <c r="J5" s="7" t="n">
        <v>30766</v>
      </c>
      <c r="K5" s="7" t="n">
        <v>30607</v>
      </c>
      <c r="L5" s="7" t="n">
        <v>30709</v>
      </c>
      <c r="M5" s="7" t="n">
        <v>30715</v>
      </c>
      <c r="N5" s="7" t="n">
        <v>30371</v>
      </c>
    </row>
    <row r="6">
      <c r="B6" s="8" t="inlineStr">
        <is>
          <t>#Events (N_E)</t>
        </is>
      </c>
      <c r="C6" s="24" t="n">
        <v>44683618</v>
      </c>
      <c r="D6" s="24" t="n">
        <v>52668591</v>
      </c>
      <c r="E6" s="24" t="n">
        <v>46547696</v>
      </c>
      <c r="F6" s="24" t="n">
        <v>50344861</v>
      </c>
      <c r="G6" s="24" t="n">
        <v>52573384</v>
      </c>
      <c r="H6" s="24" t="n">
        <v>85043266</v>
      </c>
      <c r="I6" s="24" t="n">
        <v>47844546</v>
      </c>
      <c r="J6" s="24" t="n">
        <v>51619213</v>
      </c>
      <c r="K6" s="24" t="n">
        <v>63716012</v>
      </c>
      <c r="L6" s="24" t="n">
        <v>53021018</v>
      </c>
      <c r="M6" s="24" t="n">
        <v>55195586</v>
      </c>
      <c r="N6" s="24" t="n">
        <v>55674402</v>
      </c>
    </row>
    <row r="7">
      <c r="B7" s="8" t="inlineStr">
        <is>
          <t># Events Voxels (N_EV)</t>
        </is>
      </c>
      <c r="C7" s="24" t="n">
        <v>247624</v>
      </c>
      <c r="D7" s="24" t="n">
        <v>238080</v>
      </c>
      <c r="E7" s="24" t="n">
        <v>242976</v>
      </c>
      <c r="F7" s="24" t="n">
        <v>246056</v>
      </c>
      <c r="G7" s="24" t="n">
        <v>245472</v>
      </c>
      <c r="H7" s="24" t="n">
        <v>237912</v>
      </c>
      <c r="I7" s="24" t="n">
        <v>245904</v>
      </c>
      <c r="J7" s="24" t="n">
        <v>246128</v>
      </c>
      <c r="K7" s="24" t="n">
        <v>244856</v>
      </c>
      <c r="L7" s="24" t="n">
        <v>245672</v>
      </c>
      <c r="M7" s="24" t="n">
        <v>245720</v>
      </c>
      <c r="N7" s="24" t="n">
        <v>242968</v>
      </c>
    </row>
    <row r="8">
      <c r="B8" s="8" t="inlineStr">
        <is>
          <t>Search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19" t="n"/>
    </row>
    <row r="9">
      <c r="B9" s="8" t="inlineStr">
        <is>
          <t>Search Invocation (I_S)</t>
        </is>
      </c>
      <c r="C9" s="25" t="n">
        <v>30953</v>
      </c>
      <c r="D9" s="25" t="n">
        <v>29760</v>
      </c>
      <c r="E9" s="25" t="n">
        <v>30372</v>
      </c>
      <c r="F9" s="25" t="n">
        <v>30757</v>
      </c>
      <c r="G9" s="25" t="n">
        <v>30684</v>
      </c>
      <c r="H9" s="25" t="n">
        <v>29739</v>
      </c>
      <c r="I9" s="25" t="n">
        <v>30738</v>
      </c>
      <c r="J9" s="25" t="n">
        <v>30766</v>
      </c>
      <c r="K9" s="25" t="n">
        <v>30607</v>
      </c>
      <c r="L9" s="25" t="n">
        <v>30709</v>
      </c>
      <c r="M9" s="25" t="n">
        <v>30715</v>
      </c>
      <c r="N9" s="25" t="n">
        <v>30371</v>
      </c>
    </row>
    <row r="10">
      <c r="B10" s="8" t="inlineStr">
        <is>
          <t>Search Ratio (R_S)</t>
        </is>
      </c>
      <c r="C10" s="25" t="n">
        <v>11.11</v>
      </c>
      <c r="D10" s="25" t="n">
        <v>11.11</v>
      </c>
      <c r="E10" s="25" t="n">
        <v>11.11</v>
      </c>
      <c r="F10" s="25" t="n">
        <v>11.11</v>
      </c>
      <c r="G10" s="25" t="n">
        <v>11.11</v>
      </c>
      <c r="H10" s="25" t="n">
        <v>11.11</v>
      </c>
      <c r="I10" s="25" t="n">
        <v>11.11</v>
      </c>
      <c r="J10" s="25" t="n">
        <v>11.11</v>
      </c>
      <c r="K10" s="25" t="n">
        <v>11.11</v>
      </c>
      <c r="L10" s="25" t="n">
        <v>11.11</v>
      </c>
      <c r="M10" s="25" t="n">
        <v>11.11</v>
      </c>
      <c r="N10" s="25" t="n">
        <v>11.11</v>
      </c>
    </row>
    <row r="11">
      <c r="B11" s="8" t="inlineStr">
        <is>
          <t>Avg. Search Latency (L_S)</t>
        </is>
      </c>
      <c r="C11" s="26" t="n">
        <v>0.791</v>
      </c>
      <c r="D11" s="26" t="n">
        <v>0.778</v>
      </c>
      <c r="E11" s="26" t="n">
        <v>0.781</v>
      </c>
      <c r="F11" s="26" t="n">
        <v>0.798</v>
      </c>
      <c r="G11" s="26" t="n">
        <v>0.786</v>
      </c>
      <c r="H11" s="26" t="n">
        <v>0.779</v>
      </c>
      <c r="I11" s="26" t="n">
        <v>0.784</v>
      </c>
      <c r="J11" s="26" t="n">
        <v>0.783</v>
      </c>
      <c r="K11" s="26" t="n">
        <v>0.793</v>
      </c>
      <c r="L11" s="26" t="n">
        <v>0.785</v>
      </c>
      <c r="M11" s="26" t="n">
        <v>0.778</v>
      </c>
      <c r="N11" s="26" t="n">
        <v>0.782</v>
      </c>
    </row>
    <row r="12">
      <c r="B12" s="8" t="inlineStr">
        <is>
          <t>Best-case Latency (L_(S,min))</t>
        </is>
      </c>
      <c r="C12" s="26">
        <f>0.688834</f>
        <v/>
      </c>
      <c r="D12" s="26" t="n">
        <v>0.707945</v>
      </c>
      <c r="E12" s="26" t="n">
        <v>0.677845</v>
      </c>
      <c r="F12" s="26" t="n">
        <v>0.711453</v>
      </c>
      <c r="G12" s="26" t="n">
        <v>0.684689</v>
      </c>
      <c r="H12" s="26" t="n">
        <v>0.67875</v>
      </c>
      <c r="I12" s="26" t="n">
        <v>0.672463</v>
      </c>
      <c r="J12" s="26" t="n">
        <v>0.710338</v>
      </c>
      <c r="K12" s="26" t="n">
        <v>0.700109</v>
      </c>
      <c r="L12" s="26" t="n">
        <v>0.7193850000000001</v>
      </c>
      <c r="M12" s="26" t="n">
        <v>0.718383</v>
      </c>
      <c r="N12" s="26" t="n">
        <v>0.705152</v>
      </c>
    </row>
    <row r="13">
      <c r="B13" s="8" t="inlineStr">
        <is>
          <t>Worst-case Latency (L_(S,max))</t>
        </is>
      </c>
      <c r="C13" s="26" t="n">
        <v>0.987</v>
      </c>
      <c r="D13" s="26" t="n">
        <v>0.988</v>
      </c>
      <c r="E13" s="26" t="n">
        <v>0.988</v>
      </c>
      <c r="F13" s="26" t="n">
        <v>0.986</v>
      </c>
      <c r="G13" s="26" t="n">
        <v>0.984</v>
      </c>
      <c r="H13" s="26" t="n">
        <v>0.985</v>
      </c>
      <c r="I13" s="26" t="n">
        <v>0.987</v>
      </c>
      <c r="J13" s="26" t="n">
        <v>0.981</v>
      </c>
      <c r="K13" s="26" t="n">
        <v>0.983</v>
      </c>
      <c r="L13" s="26" t="n">
        <v>0.982</v>
      </c>
      <c r="M13" s="26" t="n">
        <v>0.982</v>
      </c>
      <c r="N13" s="26" t="n">
        <v>0.983</v>
      </c>
    </row>
    <row r="14">
      <c r="B14" s="8" t="inlineStr">
        <is>
          <t>Throughput (GOPS_S)</t>
        </is>
      </c>
      <c r="C14" s="27" t="n">
        <v>813</v>
      </c>
      <c r="D14" s="27" t="n">
        <v>791</v>
      </c>
      <c r="E14" s="27" t="n">
        <v>826.1</v>
      </c>
      <c r="F14" s="27" t="n">
        <v>787.1</v>
      </c>
      <c r="G14" s="27" t="n">
        <v>817.9</v>
      </c>
      <c r="H14" s="27" t="n">
        <v>825</v>
      </c>
      <c r="I14" s="27" t="n">
        <v>832.8</v>
      </c>
      <c r="J14" s="27" t="n">
        <v>788.4</v>
      </c>
      <c r="K14" s="27" t="n">
        <v>799.9</v>
      </c>
      <c r="L14" s="27" t="n">
        <v>778.4</v>
      </c>
      <c r="M14" s="27" t="n">
        <v>779.5</v>
      </c>
      <c r="N14" s="27" t="n">
        <v>794.2</v>
      </c>
    </row>
    <row r="15">
      <c r="B15" s="8" t="inlineStr">
        <is>
          <t>Initial Interval (II_S)</t>
        </is>
      </c>
      <c r="C15" s="28" t="n">
        <v>0.6889999999999999</v>
      </c>
      <c r="D15" s="28" t="n">
        <v>0.708</v>
      </c>
      <c r="E15" s="28" t="n">
        <v>0.678</v>
      </c>
      <c r="F15" s="28" t="n">
        <v>0.711</v>
      </c>
      <c r="G15" s="28" t="n">
        <v>0.6850000000000001</v>
      </c>
      <c r="H15" s="28" t="n">
        <v>0.679</v>
      </c>
      <c r="I15" s="28" t="n">
        <v>0.672</v>
      </c>
      <c r="J15" s="28" t="n">
        <v>0.71</v>
      </c>
      <c r="K15" s="28" t="n">
        <v>0.7</v>
      </c>
      <c r="L15" s="28" t="n">
        <v>0.719</v>
      </c>
      <c r="M15" s="28" t="n">
        <v>0.718</v>
      </c>
      <c r="N15" s="28" t="n">
        <v>0.705</v>
      </c>
    </row>
    <row r="16">
      <c r="B16" s="8" t="inlineStr">
        <is>
          <t>95th Percentil Latency (L_S_95)</t>
        </is>
      </c>
      <c r="C16" s="28" t="n">
        <v>0.914</v>
      </c>
      <c r="D16" s="28" t="n">
        <v>0.892</v>
      </c>
      <c r="E16" s="28" t="n">
        <v>0.905</v>
      </c>
      <c r="F16" s="28" t="n">
        <v>0.908</v>
      </c>
      <c r="G16" s="28" t="n">
        <v>0.908</v>
      </c>
      <c r="H16" s="28" t="n">
        <v>0.906</v>
      </c>
      <c r="I16" s="28" t="n">
        <v>0.917</v>
      </c>
      <c r="J16" s="28" t="n">
        <v>0.892</v>
      </c>
      <c r="K16" s="28" t="n">
        <v>0.908</v>
      </c>
      <c r="L16" s="28" t="n">
        <v>0.892</v>
      </c>
      <c r="M16" s="28" t="n">
        <v>0.886</v>
      </c>
      <c r="N16" s="28" t="n">
        <v>0.893</v>
      </c>
    </row>
    <row r="17">
      <c r="B17" s="8" t="inlineStr">
        <is>
          <t>99th Percentil Latency (L_S_99)</t>
        </is>
      </c>
      <c r="C17" s="28" t="n">
        <v>0.96</v>
      </c>
      <c r="D17" s="28" t="n">
        <v>0.9409999999999999</v>
      </c>
      <c r="E17" s="28" t="n">
        <v>0.957</v>
      </c>
      <c r="F17" s="28" t="n">
        <v>0.957</v>
      </c>
      <c r="G17" s="28" t="n">
        <v>0.954</v>
      </c>
      <c r="H17" s="28" t="n">
        <v>0.955</v>
      </c>
      <c r="I17" s="28" t="n">
        <v>0.973</v>
      </c>
      <c r="J17" s="28" t="n">
        <v>0.9379999999999999</v>
      </c>
      <c r="K17" s="28" t="n">
        <v>0.959</v>
      </c>
      <c r="L17" s="28" t="n">
        <v>0.9350000000000001</v>
      </c>
      <c r="M17" s="28" t="n">
        <v>0.931</v>
      </c>
      <c r="N17" s="28" t="n">
        <v>0.9399999999999999</v>
      </c>
    </row>
    <row r="18">
      <c r="B18" s="8" t="inlineStr">
        <is>
          <t>Track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19" t="n"/>
    </row>
    <row r="19">
      <c r="B19" s="8" t="inlineStr">
        <is>
          <t>Track Invocation (I_T)</t>
        </is>
      </c>
      <c r="C19" s="25" t="n">
        <v>247624</v>
      </c>
      <c r="D19" s="25" t="n">
        <v>238080</v>
      </c>
      <c r="E19" s="25" t="n">
        <v>242976</v>
      </c>
      <c r="F19" s="25" t="n">
        <v>246056</v>
      </c>
      <c r="G19" s="25" t="n">
        <v>245472</v>
      </c>
      <c r="H19" s="25" t="n">
        <v>237912</v>
      </c>
      <c r="I19" s="25" t="n">
        <v>245904</v>
      </c>
      <c r="J19" s="25" t="n">
        <v>246128</v>
      </c>
      <c r="K19" s="25" t="n">
        <v>244856</v>
      </c>
      <c r="L19" s="25" t="n">
        <v>245672</v>
      </c>
      <c r="M19" s="25" t="n">
        <v>245720</v>
      </c>
      <c r="N19" s="25" t="n">
        <v>242968</v>
      </c>
    </row>
    <row r="20">
      <c r="B20" s="8" t="inlineStr">
        <is>
          <t>Track Ratio (R_T)</t>
        </is>
      </c>
      <c r="C20" s="8">
        <f>100-C10</f>
        <v/>
      </c>
      <c r="D20" s="8">
        <f>100-D10</f>
        <v/>
      </c>
      <c r="E20" s="8">
        <f>100-E10</f>
        <v/>
      </c>
      <c r="F20" s="8">
        <f>100-F10</f>
        <v/>
      </c>
      <c r="G20" s="8">
        <f>100-G10</f>
        <v/>
      </c>
      <c r="H20" s="8">
        <f>100-H10</f>
        <v/>
      </c>
      <c r="I20" s="8">
        <f>100-I10</f>
        <v/>
      </c>
      <c r="J20" s="8">
        <f>100-J10</f>
        <v/>
      </c>
      <c r="K20" s="8">
        <f>100-K10</f>
        <v/>
      </c>
      <c r="L20" s="8">
        <f>100-L10</f>
        <v/>
      </c>
      <c r="M20" s="8">
        <f>100-M10</f>
        <v/>
      </c>
      <c r="N20" s="8">
        <f>100-N10</f>
        <v/>
      </c>
    </row>
    <row r="21">
      <c r="B21" s="8" t="inlineStr">
        <is>
          <t>Avg. Track Latency (L_T)</t>
        </is>
      </c>
      <c r="C21" s="26" t="n">
        <v>0.441</v>
      </c>
      <c r="D21" s="26" t="n">
        <v>0.454</v>
      </c>
      <c r="E21" s="26" t="n">
        <v>0.469</v>
      </c>
      <c r="F21" s="26" t="n">
        <v>0.448</v>
      </c>
      <c r="G21" s="26" t="n">
        <v>0.453</v>
      </c>
      <c r="H21" s="26" t="n">
        <v>0.474</v>
      </c>
      <c r="I21" s="26" t="n">
        <v>0.465</v>
      </c>
      <c r="J21" s="26" t="n">
        <v>0.447</v>
      </c>
      <c r="K21" s="26" t="n">
        <v>0.465</v>
      </c>
      <c r="L21" s="26" t="n">
        <v>0.479</v>
      </c>
      <c r="M21" s="26" t="n">
        <v>0.451</v>
      </c>
      <c r="N21" s="26" t="n">
        <v>0.466</v>
      </c>
    </row>
    <row r="22">
      <c r="B22" s="8" t="inlineStr">
        <is>
          <t>Best-case Latency (L_(T,min))</t>
        </is>
      </c>
      <c r="C22" s="26" t="n">
        <v>0.377068</v>
      </c>
      <c r="D22" s="26" t="n">
        <v>0.36637</v>
      </c>
      <c r="E22" s="26" t="n">
        <v>0.394816</v>
      </c>
      <c r="F22" s="26" t="n">
        <v>0.391779</v>
      </c>
      <c r="G22" s="26" t="n">
        <v>0.368248</v>
      </c>
      <c r="H22" s="26" t="n">
        <v>0.386225</v>
      </c>
      <c r="I22" s="26" t="n">
        <v>0.378996</v>
      </c>
      <c r="J22" s="26" t="n">
        <v>0.385549</v>
      </c>
      <c r="K22" s="26" t="n">
        <v>0.366685</v>
      </c>
      <c r="L22" s="26" t="n">
        <v>0.381366</v>
      </c>
      <c r="M22" s="26" t="n">
        <v>0.383686</v>
      </c>
      <c r="N22" s="26" t="n">
        <v>0.380956</v>
      </c>
    </row>
    <row r="23">
      <c r="B23" s="8" t="inlineStr">
        <is>
          <t>Worst-case Latency (L_(T,max))</t>
        </is>
      </c>
      <c r="C23" s="26" t="n">
        <v>0.511</v>
      </c>
      <c r="D23" s="26" t="n">
        <v>0.514</v>
      </c>
      <c r="E23" s="26" t="n">
        <v>0.513</v>
      </c>
      <c r="F23" s="26" t="n">
        <v>0.512</v>
      </c>
      <c r="G23" s="26" t="n">
        <v>0.515</v>
      </c>
      <c r="H23" s="26" t="n">
        <v>0.511</v>
      </c>
      <c r="I23" s="26" t="n">
        <v>0.516</v>
      </c>
      <c r="J23" s="26" t="n">
        <v>0.511</v>
      </c>
      <c r="K23" s="26" t="n">
        <v>0.512</v>
      </c>
      <c r="L23" s="26" t="n">
        <v>0.511</v>
      </c>
      <c r="M23" s="26" t="n">
        <v>0.51</v>
      </c>
      <c r="N23" s="26" t="n">
        <v>0.512</v>
      </c>
    </row>
    <row r="24">
      <c r="B24" s="8" t="inlineStr">
        <is>
          <t>Throughput (GOPS_T)</t>
        </is>
      </c>
      <c r="C24" s="27" t="n">
        <v>228.1</v>
      </c>
      <c r="D24" s="27" t="n">
        <v>234.7</v>
      </c>
      <c r="E24" s="27" t="n">
        <v>217.8</v>
      </c>
      <c r="F24" s="27" t="n">
        <v>219.5</v>
      </c>
      <c r="G24" s="27" t="n">
        <v>233.5</v>
      </c>
      <c r="H24" s="27" t="n">
        <v>222.7</v>
      </c>
      <c r="I24" s="27" t="n">
        <v>226.9</v>
      </c>
      <c r="J24" s="27" t="n">
        <v>223.1</v>
      </c>
      <c r="K24" s="27" t="n">
        <v>234.5</v>
      </c>
      <c r="L24" s="27" t="n">
        <v>225.5</v>
      </c>
      <c r="M24" s="27" t="n">
        <v>224.1</v>
      </c>
      <c r="N24" s="27" t="n">
        <v>225.7</v>
      </c>
    </row>
    <row r="25">
      <c r="B25" s="8" t="inlineStr">
        <is>
          <t>Initial Interval (II_T)</t>
        </is>
      </c>
      <c r="C25" s="28" t="n">
        <v>0.377</v>
      </c>
      <c r="D25" s="28" t="n">
        <v>0.366</v>
      </c>
      <c r="E25" s="28" t="n">
        <v>0.395</v>
      </c>
      <c r="F25" s="28" t="n">
        <v>0.392</v>
      </c>
      <c r="G25" s="28" t="n">
        <v>0.368</v>
      </c>
      <c r="H25" s="28" t="n">
        <v>0.386</v>
      </c>
      <c r="I25" s="28" t="n">
        <v>0.379</v>
      </c>
      <c r="J25" s="28" t="n">
        <v>0.386</v>
      </c>
      <c r="K25" s="28" t="n">
        <v>0.367</v>
      </c>
      <c r="L25" s="28" t="n">
        <v>0.381</v>
      </c>
      <c r="M25" s="28" t="n">
        <v>0.384</v>
      </c>
      <c r="N25" s="28" t="n">
        <v>0.381</v>
      </c>
    </row>
    <row r="26">
      <c r="B26" s="8" t="inlineStr">
        <is>
          <t>95th Percentil Latency (L_T_95)</t>
        </is>
      </c>
      <c r="C26" s="28" t="n">
        <v>1.254</v>
      </c>
      <c r="D26" s="28" t="n">
        <v>1.252</v>
      </c>
      <c r="E26" s="28" t="n">
        <v>1.27</v>
      </c>
      <c r="F26" s="28" t="n">
        <v>1.266</v>
      </c>
      <c r="G26" s="28" t="n">
        <v>1.257</v>
      </c>
      <c r="H26" s="28" t="n">
        <v>1.272</v>
      </c>
      <c r="I26" s="28" t="n">
        <v>1.27</v>
      </c>
      <c r="J26" s="28" t="n">
        <v>1.248</v>
      </c>
      <c r="K26" s="28" t="n">
        <v>1.274</v>
      </c>
      <c r="L26" s="28" t="n">
        <v>1.278</v>
      </c>
      <c r="M26" s="28" t="n">
        <v>1.246</v>
      </c>
      <c r="N26" s="28" t="n">
        <v>1.265</v>
      </c>
    </row>
    <row r="27">
      <c r="B27" s="8" t="inlineStr">
        <is>
          <t>99th Percentil Latency (L_T_99)</t>
        </is>
      </c>
      <c r="C27" s="28" t="n">
        <v>1.345</v>
      </c>
      <c r="D27" s="28" t="n">
        <v>1.341</v>
      </c>
      <c r="E27" s="28" t="n">
        <v>1.365</v>
      </c>
      <c r="F27" s="28" t="n">
        <v>1.354</v>
      </c>
      <c r="G27" s="28" t="n">
        <v>1.351</v>
      </c>
      <c r="H27" s="28" t="n">
        <v>1.366</v>
      </c>
      <c r="I27" s="28" t="n">
        <v>1.369</v>
      </c>
      <c r="J27" s="28" t="n">
        <v>1.331</v>
      </c>
      <c r="K27" s="28" t="n">
        <v>1.365</v>
      </c>
      <c r="L27" s="28" t="n">
        <v>1.362</v>
      </c>
      <c r="M27" s="28" t="n">
        <v>1.33</v>
      </c>
      <c r="N27" s="28" t="n">
        <v>1.351</v>
      </c>
    </row>
    <row r="29">
      <c r="B29" s="29" t="inlineStr">
        <is>
          <t>정정본(v2): [1] I_S=N_F(valid frame, 모든 valid 프레임에서 frame-search/anchor refresh) — 이전 matcell frame-update는 마지막 200프레임 drop 아티팩트라 폐기. [2] N_F=valid frame = Benchmark 4-State(F) #Data − Blink (4-State #Data는 total frame). [3] N_EV=I_T=8×N_F = 5ms event voxel(track invocation); Benchmark 4-State(E) #Data(=matcell 전체 행, 4-state 모집단)와는 별개. [4] R_S=I_S/(I_S+I_T)=N_F/(9·N_F)=11.11% (구조상수 1 frame:8 voxel). R_T(행20)=100−R_S=88.89% 수식 자동. II=best-case latency. p95/p99=시간순 큐 시뮬(5ms voxel+40ms frame, FIFO, non-preempt); Track tail은 non-preempt search contention. N_E=raw 이벤트 전수 카운트(정확). 초록=실측/구조값, 노랑=시뮬 추정.</t>
        </is>
      </c>
    </row>
  </sheetData>
  <mergeCells count="2">
    <mergeCell ref="B8:N8"/>
    <mergeCell ref="B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2026-04-02T23:25:46Z</dcterms:created>
  <dcterms:modified xmlns:dcterms="http://purl.org/dc/terms/" xmlns:xsi="http://www.w3.org/2001/XMLSchema-instance" xsi:type="dcterms:W3CDTF">2026-06-30T01:26:24Z</dcterms:modified>
  <cp:lastModifiedBy>재명 김</cp:lastModifiedBy>
</cp:coreProperties>
</file>